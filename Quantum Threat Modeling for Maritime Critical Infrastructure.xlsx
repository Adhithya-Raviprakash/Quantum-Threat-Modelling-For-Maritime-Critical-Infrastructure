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drawings/drawing4.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drawings/drawing6.xml" ContentType="application/vnd.openxmlformats-officedocument.drawing+xml"/>
  <Override PartName="/xl/charts/chart9.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bd451de075006dfc/Documents/GitHub/Quantum-Threat-Modelling-For-Maritime-Critical-Infrastructure/"/>
    </mc:Choice>
  </mc:AlternateContent>
  <xr:revisionPtr revIDLastSave="1" documentId="8_{635F56B7-1639-4BBA-9DA7-CBD2B6894331}" xr6:coauthVersionLast="47" xr6:coauthVersionMax="47" xr10:uidLastSave="{9D9362D5-2919-49C7-A868-17064931FBB6}"/>
  <bookViews>
    <workbookView xWindow="-110" yWindow="-110" windowWidth="25820" windowHeight="14620" activeTab="4" xr2:uid="{00000000-000D-0000-FFFF-FFFF00000000}"/>
  </bookViews>
  <sheets>
    <sheet name="7. Summary Dashboard" sheetId="1" r:id="rId1"/>
    <sheet name="1. Fleet Encryption Usage" sheetId="2" r:id="rId2"/>
    <sheet name="2. Quantum Threat Risk" sheetId="3" r:id="rId3"/>
    <sheet name="3. Shors Algorithm Timeline" sheetId="4" r:id="rId4"/>
    <sheet name="4. Grovers AES Impact" sheetId="5" r:id="rId5"/>
    <sheet name="5. PQC Migration Roadmap" sheetId="6" r:id="rId6"/>
    <sheet name="6. HNDL Threat Analysis" sheetId="7" r:id="rId7"/>
    <sheet name="8. Data Sources &amp; Citations" sheetId="8" r:id="rId8"/>
  </sheets>
  <calcPr calcId="181029"/>
</workbook>
</file>

<file path=xl/calcChain.xml><?xml version="1.0" encoding="utf-8"?>
<calcChain xmlns="http://schemas.openxmlformats.org/spreadsheetml/2006/main">
  <c r="E14" i="7" l="1"/>
  <c r="E13" i="7"/>
  <c r="E12" i="7"/>
  <c r="E11" i="7"/>
  <c r="E10" i="7"/>
  <c r="E9" i="7"/>
  <c r="E8" i="7"/>
  <c r="E7" i="7"/>
  <c r="E6" i="7"/>
  <c r="E5" i="7"/>
  <c r="G10" i="6"/>
  <c r="G9" i="6"/>
  <c r="G8" i="6"/>
  <c r="G7" i="6"/>
  <c r="G6" i="6"/>
  <c r="G5" i="6"/>
  <c r="A14" i="5"/>
  <c r="G18" i="3"/>
  <c r="G17" i="3"/>
  <c r="G16" i="3"/>
  <c r="G15" i="3"/>
  <c r="G14" i="3"/>
  <c r="G13" i="3"/>
  <c r="G12" i="3"/>
  <c r="G11" i="3"/>
  <c r="G10" i="3"/>
  <c r="G9" i="3"/>
  <c r="G8" i="3"/>
  <c r="G7" i="3"/>
  <c r="G6" i="3"/>
  <c r="G5" i="3"/>
  <c r="H13" i="2"/>
  <c r="H14" i="2" s="1"/>
  <c r="G13" i="2"/>
  <c r="G14" i="2" s="1"/>
  <c r="F13" i="2"/>
  <c r="F14" i="2" s="1"/>
  <c r="E13" i="2"/>
  <c r="E14" i="2" s="1"/>
  <c r="D13" i="2"/>
  <c r="D14" i="2" s="1"/>
  <c r="C13" i="2"/>
  <c r="C14" i="2" s="1"/>
  <c r="B13" i="2"/>
  <c r="B14" i="2" s="1"/>
</calcChain>
</file>

<file path=xl/sharedStrings.xml><?xml version="1.0" encoding="utf-8"?>
<sst xmlns="http://schemas.openxmlformats.org/spreadsheetml/2006/main" count="376" uniqueCount="290">
  <si>
    <t>QUANTUM THREAT MODELLING — MARITIME CRITICAL INFRASTRUCTURE | CRYPTOLOGY CSE2021 DASHBOARD</t>
  </si>
  <si>
    <t>Total Vessels
Analysed</t>
  </si>
  <si>
    <t>Quantum-Vulnerable
Systems</t>
  </si>
  <si>
    <t>CRITICAL Risk
Systems</t>
  </si>
  <si>
    <t>Vessels Using
RSA (at risk)</t>
  </si>
  <si>
    <t>PQC Deployed
(2026)</t>
  </si>
  <si>
    <t>Target PQC
(2030)</t>
  </si>
  <si>
    <t>HNDL Critical
Data Types</t>
  </si>
  <si>
    <t>Est. Q-Day
Window</t>
  </si>
  <si>
    <t>90,000</t>
  </si>
  <si>
    <t>12 / 14</t>
  </si>
  <si>
    <t>5</t>
  </si>
  <si>
    <t>~34,000</t>
  </si>
  <si>
    <t>~2%</t>
  </si>
  <si>
    <t>80%</t>
  </si>
  <si>
    <t>7 / 10</t>
  </si>
  <si>
    <t>2027–2030</t>
  </si>
  <si>
    <t>KEY FINDINGS</t>
  </si>
  <si>
    <t>1. ~38% of the global maritime fleet relies on RSA-2048 or ECC — both fully broken by Shor's Algorithm on a ~8M physical-qubit machine (est. 2030).</t>
  </si>
  <si>
    <t>2. AES-128 (used by ~28,000 vessels) is downgraded from 128-bit to 64-bit security by Grover's Algorithm — below NIST recommended 112-bit floor.</t>
  </si>
  <si>
    <t>3. HNDL attacks are ACTIVE NOW — adversaries are collecting RSA-encrypted SATCOM and cargo manifest data for future decryption.</t>
  </si>
  <si>
    <t>4. Only ~2% of vessels have begun PQC deployment as of 2026. The G7 CEG roadmap requires 80% by 2030.</t>
  </si>
  <si>
    <t>5. NIST-approved remediation: ML-KEM (FIPS 203) for key exchange; ML-DSA (FIPS 204) for digital signatures on AIS &amp; firmware.</t>
  </si>
  <si>
    <t>6. 5 maritime systems rated CRITICAL (Risk Score ≥ 72): AIS, ECDIS, SATCOM, Port OT/SCADA, and GMDSS.</t>
  </si>
  <si>
    <t>Global Maritime Fleet — Encryption Algorithm Distribution (2026)</t>
  </si>
  <si>
    <t>Source: IMO Cyber Risk Registry 2026 | BIMCO Digital Survey | Estimated fleet of 90,000 vessels</t>
  </si>
  <si>
    <t>Vessel Category</t>
  </si>
  <si>
    <t>Total Vessels</t>
  </si>
  <si>
    <t>RSA-2048 Only</t>
  </si>
  <si>
    <t>ECC Only</t>
  </si>
  <si>
    <t>AES-256 Only</t>
  </si>
  <si>
    <t>RSA + AES (Hybrid)</t>
  </si>
  <si>
    <t>PQC (Kyber/Dilithium)</t>
  </si>
  <si>
    <t>Unencrypted / Legacy</t>
  </si>
  <si>
    <t>Cargo / Container Ships</t>
  </si>
  <si>
    <t>Tankers (Oil &amp; Chemical)</t>
  </si>
  <si>
    <t>Bulk Carriers</t>
  </si>
  <si>
    <t>Passenger / Cruise Ships</t>
  </si>
  <si>
    <t>Naval / Coast Guard</t>
  </si>
  <si>
    <t>Fishing Vessels</t>
  </si>
  <si>
    <t>Offshore / Supply Vessels</t>
  </si>
  <si>
    <t>Research / Survey</t>
  </si>
  <si>
    <t>TOTAL</t>
  </si>
  <si>
    <t>% Share of Fleet</t>
  </si>
  <si>
    <t>Maritime Critical Systems — Quantum Threat Risk Assessment (STRIDE Model, 2026)</t>
  </si>
  <si>
    <t>Risk Score = Likelihood (1-10) × Impact (1-10) | Quantum Readiness: 1=Not Ready, 10=Fully PQC Deployed</t>
  </si>
  <si>
    <t>Maritime System</t>
  </si>
  <si>
    <t>Primary Algorithm</t>
  </si>
  <si>
    <t>Vulnerable to Shor's?</t>
  </si>
  <si>
    <t>Vulnerable to Grover's?</t>
  </si>
  <si>
    <t>Likelihood (1-10)</t>
  </si>
  <si>
    <t>Impact (1-10)</t>
  </si>
  <si>
    <t>Risk Score</t>
  </si>
  <si>
    <t>PQC Readiness (1-10)</t>
  </si>
  <si>
    <t>Threat Level</t>
  </si>
  <si>
    <t>AIS (Auto ID System)</t>
  </si>
  <si>
    <t>ECDSA-256</t>
  </si>
  <si>
    <t>YES</t>
  </si>
  <si>
    <t>Partial</t>
  </si>
  <si>
    <t>CRITICAL</t>
  </si>
  <si>
    <t>ECDIS (Nav Charts)</t>
  </si>
  <si>
    <t>RSA-2048 / PKI</t>
  </si>
  <si>
    <t>SATCOM Communications</t>
  </si>
  <si>
    <t>RSA-2048</t>
  </si>
  <si>
    <t>Port OT / SCADA</t>
  </si>
  <si>
    <t>VPN (RSA/DH)</t>
  </si>
  <si>
    <t>GMDSS (Safety Messaging)</t>
  </si>
  <si>
    <t>RSA-1024</t>
  </si>
  <si>
    <t>AIS Firmware Updates</t>
  </si>
  <si>
    <t>HIGH</t>
  </si>
  <si>
    <t>Vessel Email / Data Links</t>
  </si>
  <si>
    <t>TLS 1.2 (RSA)</t>
  </si>
  <si>
    <t>Engine OT Monitoring</t>
  </si>
  <si>
    <t>AES-128 (CBC)</t>
  </si>
  <si>
    <t>NO</t>
  </si>
  <si>
    <t>Bridge Auth Systems</t>
  </si>
  <si>
    <t>AES-256</t>
  </si>
  <si>
    <t>MEDIUM</t>
  </si>
  <si>
    <t>Cargo Manifest Systems</t>
  </si>
  <si>
    <t>TLS 1.3 (ECC)</t>
  </si>
  <si>
    <t>VSAT / Fleet Broadband</t>
  </si>
  <si>
    <t>ECC-256 / TLS</t>
  </si>
  <si>
    <t>Biometric Access Control</t>
  </si>
  <si>
    <t>PQC-Hybrid Pilot Systems</t>
  </si>
  <si>
    <t>ML-KEM+RSA</t>
  </si>
  <si>
    <t>LOW</t>
  </si>
  <si>
    <t>GNSS / GPS Receiver Auth</t>
  </si>
  <si>
    <t>AES-128</t>
  </si>
  <si>
    <t>Shor's Algorithm — Cryptographic Threat Horizon (Qubit Requirement vs RSA/ECC Key Sizes)</t>
  </si>
  <si>
    <t>Physical qubits required (with error correction) per NIST / Schneier 2026 estimates</t>
  </si>
  <si>
    <t>Algorithm</t>
  </si>
  <si>
    <t>Key Size (bits)</t>
  </si>
  <si>
    <t>Classical Security (bits)</t>
  </si>
  <si>
    <t>Logical Qubits Needed</t>
  </si>
  <si>
    <t>Physical Qubits Needed (est.)</t>
  </si>
  <si>
    <t>Est. Break Year (optimistic)</t>
  </si>
  <si>
    <t>Maritime Systems Affected</t>
  </si>
  <si>
    <t>Label</t>
  </si>
  <si>
    <t>Physical Qubits (M)</t>
  </si>
  <si>
    <t>RSA</t>
  </si>
  <si>
    <t>Legacy SATCOM, Old GMDSS</t>
  </si>
  <si>
    <t>RSA-512</t>
  </si>
  <si>
    <t>GMDSS, AIS firmware</t>
  </si>
  <si>
    <t>AIS, ECDIS, SATCOM, Port OT</t>
  </si>
  <si>
    <t>High-security naval comms</t>
  </si>
  <si>
    <t>RSA-4096</t>
  </si>
  <si>
    <t>ECC</t>
  </si>
  <si>
    <t>Legacy AIS transponders</t>
  </si>
  <si>
    <t>ECC-160</t>
  </si>
  <si>
    <t>ECDIS, Cargo Manifests</t>
  </si>
  <si>
    <t>ECC-256</t>
  </si>
  <si>
    <t>Naval PKI infrastructure</t>
  </si>
  <si>
    <t>ECC-384</t>
  </si>
  <si>
    <t>High-assurance naval</t>
  </si>
  <si>
    <t>ECC-521</t>
  </si>
  <si>
    <t>DH</t>
  </si>
  <si>
    <t>VPN handshakes (Port OT)</t>
  </si>
  <si>
    <t>DH-2048</t>
  </si>
  <si>
    <t>Enterprise maritime VPN</t>
  </si>
  <si>
    <t>DH-4096</t>
  </si>
  <si>
    <t>Grover's Algorithm — Impact on AES Symmetric Encryption in Maritime Systems</t>
  </si>
  <si>
    <t>Grover's halves the effective security of symmetric keys — AES-128 drops to 64-bit security, AES-256 drops to 128-bit</t>
  </si>
  <si>
    <t>Key Length (bits)</t>
  </si>
  <si>
    <t>Post-Grover Security (bits)</t>
  </si>
  <si>
    <t>Vessels Using (est.)</t>
  </si>
  <si>
    <t>NIST 2026 Status</t>
  </si>
  <si>
    <t>DES</t>
  </si>
  <si>
    <t>BROKEN – Retire Immediately</t>
  </si>
  <si>
    <t>3DES</t>
  </si>
  <si>
    <t>DEPRECATED – Phase Out 2026</t>
  </si>
  <si>
    <t>ACCEPTABLE – Upgrade Advised</t>
  </si>
  <si>
    <t>AES-192</t>
  </si>
  <si>
    <t>ACCEPTABLE – Monitor</t>
  </si>
  <si>
    <t>RECOMMENDED – PQC Safe</t>
  </si>
  <si>
    <t>ChaCha20</t>
  </si>
  <si>
    <t>AES-128 + PQC Hybrid</t>
  </si>
  <si>
    <t>IDEAL – Future Proof</t>
  </si>
  <si>
    <t>AES-256 + PQC Hybrid</t>
  </si>
  <si>
    <t>% Vessels with Post-Grover Security &lt; 80 bits (HIGH RISK):</t>
  </si>
  <si>
    <t>Maritime PQC Migration Progress &amp; Roadmap 2026–2030</t>
  </si>
  <si>
    <t>Adoption target: 80% PQC deployment by 2030 per G7 CEG Roadmap | ML-KEM (FIPS 203), ML-DSA (FIPS 204)</t>
  </si>
  <si>
    <t>Phase</t>
  </si>
  <si>
    <t>Year</t>
  </si>
  <si>
    <t>Vessels Audited</t>
  </si>
  <si>
    <t>Hybrid PQC Deployed</t>
  </si>
  <si>
    <t>Full PQC Deployed</t>
  </si>
  <si>
    <t>Legacy Retired</t>
  </si>
  <si>
    <t>% Fleet Secured</t>
  </si>
  <si>
    <t>Key Milestone</t>
  </si>
  <si>
    <t>Phase 0 – Baseline</t>
  </si>
  <si>
    <t>Crypto-Audit begins; HNDL threat acknowledged</t>
  </si>
  <si>
    <t>Phase 1 – Pilot</t>
  </si>
  <si>
    <t>Hybrid ML-KEM+RSA deployed on major carriers</t>
  </si>
  <si>
    <t>Phase 2 – Early Rollout</t>
  </si>
  <si>
    <t>AIS PQC digital sigs; ECDIS PKI upgrade</t>
  </si>
  <si>
    <t>Phase 3 – Mainstream</t>
  </si>
  <si>
    <t>Port OT + SATCOM PQC; GMDSS mandate</t>
  </si>
  <si>
    <t>Phase 4 – Near Full</t>
  </si>
  <si>
    <t>80% target; legacy DES/RSA-1024 retired</t>
  </si>
  <si>
    <t>Phase 5 – Completion</t>
  </si>
  <si>
    <t>Full PQC; crypto-agile architecture standard</t>
  </si>
  <si>
    <t>Harvest Now, Decrypt Later (HNDL) — Maritime Data at Risk</t>
  </si>
  <si>
    <t>HNDL: Adversaries intercept &amp; store encrypted data today to decrypt once Q-Day arrives (~2027–2030)</t>
  </si>
  <si>
    <t>Data Type</t>
  </si>
  <si>
    <t>Encryption Used</t>
  </si>
  <si>
    <t>Interception Risk (1-10)</t>
  </si>
  <si>
    <t>Data Sensitivity (1-10)</t>
  </si>
  <si>
    <t>HNDL Risk Score</t>
  </si>
  <si>
    <t>Data Shelf-Life (years)</t>
  </si>
  <si>
    <t>Action Required</t>
  </si>
  <si>
    <t>Vessel Position / Route Data</t>
  </si>
  <si>
    <t>AIS (unencrypted broadcast)</t>
  </si>
  <si>
    <t>URGENT – Encrypt AIS now</t>
  </si>
  <si>
    <t>Crew Biometric / PII</t>
  </si>
  <si>
    <t>URGENT – Migrate to PQC</t>
  </si>
  <si>
    <t>Cargo Manifests &amp; Consignee</t>
  </si>
  <si>
    <t>TLS 1.2 RSA</t>
  </si>
  <si>
    <t>HIGH – Hybrid TLS 1.3+PQC</t>
  </si>
  <si>
    <t>Satellite Comms (SATCOM)</t>
  </si>
  <si>
    <t>URGENT – Quantum VPN</t>
  </si>
  <si>
    <t>Port Entry / Customs Data</t>
  </si>
  <si>
    <t>RSA / PKI</t>
  </si>
  <si>
    <t>HIGH – PQC PKI</t>
  </si>
  <si>
    <t>Naval Patrol Routes</t>
  </si>
  <si>
    <t>URGENT – Military-grade PQC</t>
  </si>
  <si>
    <t>Engine Telemetry</t>
  </si>
  <si>
    <t>MEDIUM – Upgrade to AES-256</t>
  </si>
  <si>
    <t>Crew Communication (email)</t>
  </si>
  <si>
    <t>TLS 1.2</t>
  </si>
  <si>
    <t>LOW – TLS 1.3 sufficient</t>
  </si>
  <si>
    <t>Financial Transactions</t>
  </si>
  <si>
    <t>RSA-2048 / TLS</t>
  </si>
  <si>
    <t>URGENT – PQC now</t>
  </si>
  <si>
    <t>Firmware / Software Updates</t>
  </si>
  <si>
    <t>RSA-2048 (code sign)</t>
  </si>
  <si>
    <t>URGENT – ML-DSA signing</t>
  </si>
  <si>
    <t>DATA SOURCES &amp; ACADEMIC CITATIONS</t>
  </si>
  <si>
    <t>This workbook uses modelled/estimated data constructed from the official sources below. All figures are research-grounded estimates suitable for academic threat modelling (Cryptology CSE2021, VIT, March 2026).</t>
  </si>
  <si>
    <t>#</t>
  </si>
  <si>
    <t>Sheet Referenced</t>
  </si>
  <si>
    <t>Source / Dataset Name</t>
  </si>
  <si>
    <t>Publisher / Author</t>
  </si>
  <si>
    <t>Data Used For</t>
  </si>
  <si>
    <t>URL</t>
  </si>
  <si>
    <t>Sheet 1 – Fleet Encryption</t>
  </si>
  <si>
    <t>BIMCO — Shipping &amp; Sustainability / Fleet Statistics</t>
  </si>
  <si>
    <t>BIMCO (Baltic and International Maritime Council)</t>
  </si>
  <si>
    <t>2025</t>
  </si>
  <si>
    <t>Total vessel counts by ship type (cargo, tanker, bulk, etc.) used to size the 90,000 vessel fleet</t>
  </si>
  <si>
    <t>https://www.bimco.org/shipping-explained/shipping-and-sustainability</t>
  </si>
  <si>
    <t>OECD AIS Vessel Tracking Dashboard</t>
  </si>
  <si>
    <t>OECD (Organisation for Economic Co-operation and Development)</t>
  </si>
  <si>
    <t>2024</t>
  </si>
  <si>
    <t>Vessel presence and fleet composition statistics by jurisdiction and vessel type</t>
  </si>
  <si>
    <t>https://www.oecd.org/en/data/dashboards/monitoring-maritime-trade-the-oecd-ais-vessel-tracking-dashboard.html</t>
  </si>
  <si>
    <t>Global Fishing Watch — Vessel Identity Dataset</t>
  </si>
  <si>
    <t>Global Fishing Watch (Google / SkyTruth)</t>
  </si>
  <si>
    <t>400,000+ vessel records with type, AIS identifiers and flag state for fleet composition reference</t>
  </si>
  <si>
    <t>https://globalfishingwatch.org/datasets-and-code-vessel-identity/</t>
  </si>
  <si>
    <t>Sheet 2 – Quantum Threat Risk</t>
  </si>
  <si>
    <t>MCAD — Maritime Cyber Attack Database</t>
  </si>
  <si>
    <t>NHL Stenden University of Applied Sciences</t>
  </si>
  <si>
    <t>295+ real maritime cyber incidents (AIS spoofing, ECDIS attacks, ransomware) used to calibrate Likelihood scores</t>
  </si>
  <si>
    <t>https://maritimecybersecurity.nl/</t>
  </si>
  <si>
    <t>arXiv: Comprehensive Review of Maritime Cybersecurity (2409.11417)</t>
  </si>
  <si>
    <t>arXiv / Open Access Research</t>
  </si>
  <si>
    <t>STRIDE threat modelling for AIS, ECDIS, SATCOM, GMDSS, Port OT systems; Impact scores reference</t>
  </si>
  <si>
    <t>https://arxiv.org/html/2409.11417</t>
  </si>
  <si>
    <t>IACS UR E26 &amp; E27 — Cyber Resilience Requirements</t>
  </si>
  <si>
    <t>IACS (International Association of Classification Societies)</t>
  </si>
  <si>
    <t>Mandatory cyber resilience requirements for ships; PQC Readiness benchmark for ship systems</t>
  </si>
  <si>
    <t>https://ww2.eagle.org/en/rules-and-resources/regulatory-updates/Maritime-Cybersecurity.html</t>
  </si>
  <si>
    <t>Sheet 3 – Shor's Algorithm Timeline</t>
  </si>
  <si>
    <t>NIST IR 8547 — Transition to Post-Quantum Cryptography Standards (Draft)</t>
  </si>
  <si>
    <t>NIST (National Institute of Standards and Technology)</t>
  </si>
  <si>
    <t>Physical qubit estimates to break RSA-2048/4096 and ECC-256/521; estimated break-year timeline</t>
  </si>
  <si>
    <t>https://nvlpubs.nist.gov/nistpubs/ir/2024/NIST.IR.8547.ipd.pdf</t>
  </si>
  <si>
    <t>NIST PQC Standardization Project</t>
  </si>
  <si>
    <t>NIST CSRC</t>
  </si>
  <si>
    <t>Algorithm vulnerability classifications (RSA, ECC, DH) to Shor's Algorithm; logical qubit formula</t>
  </si>
  <si>
    <t>https://csrc.nist.gov/projects/post-quantum-cryptography</t>
  </si>
  <si>
    <t>Sheet 4 – Grover's AES Impact</t>
  </si>
  <si>
    <t>NIST FIPS 203 — ML-KEM (Module-Lattice Key Encapsulation Mechanism)</t>
  </si>
  <si>
    <t>NIST</t>
  </si>
  <si>
    <t>AES security level after Grover's; NIST recommended key sizes (AES-256 for PQC safety); algorithm status</t>
  </si>
  <si>
    <t>https://csrc.nist.gov/pubs/fips/203/final</t>
  </si>
  <si>
    <t>NIST FIPS 204 — ML-DSA (Module-Lattice Digital Signature Algorithm)</t>
  </si>
  <si>
    <t>Digital signature post-quantum standards; Grover's impact on hash-based authentication in maritime OT</t>
  </si>
  <si>
    <t>https://csrc.nist.gov/pubs/fips/204/final</t>
  </si>
  <si>
    <t>Kaggle — AIS Dataset (vessel communications metadata)</t>
  </si>
  <si>
    <t>Kaggle / Emin Serkan Erdonmez</t>
  </si>
  <si>
    <t>2023</t>
  </si>
  <si>
    <t>Reference for encryption types deployed on real AIS-broadcasting vessels; vessel count cross-check</t>
  </si>
  <si>
    <t>https://www.kaggle.com/datasets/eminserkanerdonmez/ais-dataset</t>
  </si>
  <si>
    <t>Sheet 5 – PQC Migration Roadmap</t>
  </si>
  <si>
    <t>White House Report on PQC Migration (July 2024)</t>
  </si>
  <si>
    <t>Executive Office of the President, USA</t>
  </si>
  <si>
    <t>Phase timelines, cost estimates ($7.1B), and % deployment targets used to model 2026–2030 roadmap</t>
  </si>
  <si>
    <t>https://bidenwhitehouse.archives.gov/wp-content/uploads/2024/07/REF_PQC-Report_FINAL_Send.pdf</t>
  </si>
  <si>
    <t>NCCoE — Migration to Post-Quantum Cryptography Project</t>
  </si>
  <si>
    <t>NIST National Cybersecurity Center of Excellence</t>
  </si>
  <si>
    <t>Crypto-agility strategies, hybrid deployment guidance, and phased rollout milestones</t>
  </si>
  <si>
    <t>https://www.nccoe.nist.gov/applied-cryptography/migration-to-pqc</t>
  </si>
  <si>
    <t>G7 CEG — Coordinated Roadmap for PQC Transition (cited in paper)</t>
  </si>
  <si>
    <t>G7 Cyber Expert Group</t>
  </si>
  <si>
    <t>2026</t>
  </si>
  <si>
    <t>80% PQC deployment target by 2030; international coordination milestones for maritime sector</t>
  </si>
  <si>
    <t>https://www.g7italy.it/wp-content/uploads/G7-Cyber-Expert-Group_Quantum-Roadmap.pdf</t>
  </si>
  <si>
    <t>Sheet 6 – HNDL Threat</t>
  </si>
  <si>
    <t>MCAD — Maritime Cyber Attack Database (HNDL incidents)</t>
  </si>
  <si>
    <t>Known SATCOM and cargo data interception events; basis for HNDL interception risk scores</t>
  </si>
  <si>
    <t>US Coast Guard CTIME 2024 Cyber Trends Report</t>
  </si>
  <si>
    <t>United States Coast Guard</t>
  </si>
  <si>
    <t>First confirmed onboard ransomware case; OT/IT vulnerability breakdown for Port systems</t>
  </si>
  <si>
    <t>https://industrialcyber.co/transport/us-coast-guards-2024-ctime-report-reveals-growing-cyber-risks-in-maritime-operations/</t>
  </si>
  <si>
    <t>IEEE DataPort — Vessel Tracking AIS + Metadata Dataset</t>
  </si>
  <si>
    <t>IEEE DataPort</t>
  </si>
  <si>
    <t>Vessel communication metadata, used to estimate data shelf-life and sensitivity for SATCOM/cargo types</t>
  </si>
  <si>
    <t>https://ieee-dataport.org/open-access/vessel-tracking-ais-vessel-metadata-and-dirway-datasets</t>
  </si>
  <si>
    <t>All Sheets — Regulatory Basis</t>
  </si>
  <si>
    <t>IMO MSC-FAL.1/Circ.3 — Maritime Cyber Risk Management Guidelines</t>
  </si>
  <si>
    <t>IMO (International Maritime Organization)</t>
  </si>
  <si>
    <t>2022</t>
  </si>
  <si>
    <t>Regulatory framework for classifying AIS, ECDIS, SATCOM, Port OT as critical maritime systems</t>
  </si>
  <si>
    <t>https://www.imo.org/en/OurWork/Security/Pages/Cybersecurity.aspx</t>
  </si>
  <si>
    <t>IMO Resolution MSC.428(98) — Safety Management Systems Cyber Risk</t>
  </si>
  <si>
    <t>IMO</t>
  </si>
  <si>
    <t>2021</t>
  </si>
  <si>
    <t>Mandates cyber risk integration in vessel safety management; used as policy context for risk scores</t>
  </si>
  <si>
    <t>⚠  ACADEMIC DISCLAIMER: All numerical values in this workbook are modelled estimates derived from the above sources. They are not direct extracts from any single dataset. Figures were synthesised for academic threat modelling purposes (Cryptology CSE2021, VIT, 2026). Cite as: Nikhil (23BCB7059) &amp; Adhithya Raviprakash (23BCB7141), Quantum Threat Modelling for Maritime Critical Infrastructure, VIT University, March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</si>
</sst>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0" x14ac:knownFonts="1">
    <font>
      <sz val="11"/>
      <color theme="1"/>
      <name val="Calibri"/>
      <family val="2"/>
      <scheme val="minor"/>
    </font>
    <font>
      <b/>
      <sz val="14"/>
      <color rgb="FFFFFFFF"/>
      <name val="Arial"/>
    </font>
    <font>
      <i/>
      <sz val="9"/>
      <color rgb="FF595959"/>
      <name val="Arial"/>
    </font>
    <font>
      <b/>
      <sz val="11"/>
      <color rgb="FFFFFFFF"/>
      <name val="Arial"/>
    </font>
    <font>
      <sz val="10"/>
      <color rgb="FF000000"/>
      <name val="Arial"/>
    </font>
    <font>
      <b/>
      <sz val="10"/>
      <color rgb="FFFFFFFF"/>
      <name val="Arial"/>
    </font>
    <font>
      <b/>
      <sz val="10"/>
      <color rgb="FFC00000"/>
      <name val="Arial"/>
    </font>
    <font>
      <b/>
      <sz val="10"/>
      <color rgb="FFC55A11"/>
      <name val="Arial"/>
    </font>
    <font>
      <b/>
      <sz val="10"/>
      <name val="Arial"/>
    </font>
    <font>
      <b/>
      <sz val="10"/>
      <color rgb="FF375623"/>
      <name val="Arial"/>
    </font>
    <font>
      <b/>
      <sz val="10"/>
      <color rgb="FFBF8F00"/>
      <name val="Arial"/>
    </font>
    <font>
      <b/>
      <sz val="10"/>
      <color rgb="FF000000"/>
      <name val="Arial"/>
    </font>
    <font>
      <b/>
      <sz val="11"/>
      <name val="Arial"/>
    </font>
    <font>
      <b/>
      <sz val="11"/>
      <color rgb="FFFFFFFF"/>
      <name val="Arial"/>
    </font>
    <font>
      <b/>
      <sz val="15"/>
      <color rgb="FFFFFFFF"/>
      <name val="Arial"/>
    </font>
    <font>
      <b/>
      <sz val="9"/>
      <color rgb="FF2E75B6"/>
      <name val="Arial"/>
    </font>
    <font>
      <b/>
      <sz val="16"/>
      <color rgb="FF2E75B6"/>
      <name val="Arial"/>
    </font>
    <font>
      <b/>
      <sz val="9"/>
      <color rgb="FFC00000"/>
      <name val="Arial"/>
    </font>
    <font>
      <b/>
      <sz val="16"/>
      <color rgb="FFC00000"/>
      <name val="Arial"/>
    </font>
    <font>
      <b/>
      <sz val="9"/>
      <color rgb="FFC55A11"/>
      <name val="Arial"/>
    </font>
    <font>
      <b/>
      <sz val="16"/>
      <color rgb="FFC55A11"/>
      <name val="Arial"/>
    </font>
    <font>
      <b/>
      <sz val="9"/>
      <color rgb="FF375623"/>
      <name val="Arial"/>
    </font>
    <font>
      <b/>
      <sz val="16"/>
      <color rgb="FF375623"/>
      <name val="Arial"/>
    </font>
    <font>
      <b/>
      <sz val="9"/>
      <color rgb="FF7030A0"/>
      <name val="Arial"/>
    </font>
    <font>
      <b/>
      <sz val="16"/>
      <color rgb="FF7030A0"/>
      <name val="Arial"/>
    </font>
    <font>
      <b/>
      <sz val="9"/>
      <color rgb="FF1F3864"/>
      <name val="Arial"/>
    </font>
    <font>
      <b/>
      <sz val="16"/>
      <color rgb="FF1F3864"/>
      <name val="Arial"/>
    </font>
    <font>
      <b/>
      <sz val="12"/>
      <color rgb="FFFFFFFF"/>
      <name val="Arial"/>
    </font>
    <font>
      <b/>
      <sz val="16"/>
      <color rgb="FFFFFFFF"/>
      <name val="Arial"/>
    </font>
    <font>
      <u/>
      <sz val="10"/>
      <color rgb="FF0563C1"/>
      <name val="Arial"/>
    </font>
  </fonts>
  <fills count="20">
    <fill>
      <patternFill patternType="none"/>
    </fill>
    <fill>
      <patternFill patternType="gray125"/>
    </fill>
    <fill>
      <patternFill patternType="solid">
        <fgColor rgb="FF1F3864"/>
      </patternFill>
    </fill>
    <fill>
      <patternFill patternType="solid">
        <fgColor rgb="FF2E75B6"/>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CCC"/>
      </patternFill>
    </fill>
    <fill>
      <patternFill patternType="solid">
        <fgColor rgb="FFFCE4D6"/>
      </patternFill>
    </fill>
    <fill>
      <patternFill patternType="solid">
        <fgColor rgb="FFE2EFDA"/>
      </patternFill>
    </fill>
    <fill>
      <patternFill patternType="solid">
        <fgColor rgb="FFFFF2CC"/>
      </patternFill>
    </fill>
    <fill>
      <patternFill patternType="solid">
        <fgColor rgb="FF7030A0"/>
      </patternFill>
    </fill>
    <fill>
      <patternFill patternType="solid">
        <fgColor rgb="FFEAD1DC"/>
      </patternFill>
    </fill>
    <fill>
      <patternFill patternType="solid">
        <fgColor rgb="FFF2CEEF"/>
      </patternFill>
    </fill>
    <fill>
      <patternFill patternType="solid">
        <fgColor rgb="FFC55A11"/>
      </patternFill>
    </fill>
    <fill>
      <patternFill patternType="solid">
        <fgColor rgb="FF375623"/>
      </patternFill>
    </fill>
    <fill>
      <patternFill patternType="solid">
        <fgColor rgb="FFD9EAD3"/>
      </patternFill>
    </fill>
    <fill>
      <patternFill patternType="solid">
        <fgColor rgb="FFDAEEF3"/>
      </patternFill>
    </fill>
    <fill>
      <patternFill patternType="solid">
        <fgColor rgb="FFBDD7EE"/>
      </patternFill>
    </fill>
    <fill>
      <patternFill patternType="solid">
        <fgColor rgb="FFE2CEF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4">
    <xf numFmtId="0" fontId="0" fillId="0" borderId="0" xfId="0"/>
    <xf numFmtId="0" fontId="3" fillId="3" borderId="0" xfId="0" applyFont="1" applyFill="1" applyAlignment="1">
      <alignment horizontal="center" vertical="center" wrapText="1"/>
    </xf>
    <xf numFmtId="0" fontId="4" fillId="4" borderId="1" xfId="0" applyFont="1" applyFill="1" applyBorder="1" applyAlignment="1">
      <alignment horizontal="left" vertical="center"/>
    </xf>
    <xf numFmtId="3" fontId="4" fillId="4" borderId="1" xfId="0" applyNumberFormat="1" applyFont="1" applyFill="1" applyBorder="1" applyAlignment="1">
      <alignment horizontal="center" vertical="center"/>
    </xf>
    <xf numFmtId="0" fontId="4" fillId="5" borderId="1" xfId="0" applyFont="1" applyFill="1" applyBorder="1" applyAlignment="1">
      <alignment horizontal="left" vertical="center"/>
    </xf>
    <xf numFmtId="3" fontId="4" fillId="5" borderId="1" xfId="0" applyNumberFormat="1" applyFont="1" applyFill="1" applyBorder="1" applyAlignment="1">
      <alignment horizontal="center" vertical="center"/>
    </xf>
    <xf numFmtId="0" fontId="3" fillId="2" borderId="0" xfId="0" applyFont="1" applyFill="1" applyAlignment="1">
      <alignment horizontal="center" vertical="center"/>
    </xf>
    <xf numFmtId="3" fontId="5" fillId="2" borderId="0" xfId="0" applyNumberFormat="1" applyFont="1" applyFill="1" applyAlignment="1">
      <alignment horizontal="center" vertical="center"/>
    </xf>
    <xf numFmtId="0" fontId="3" fillId="3" borderId="0" xfId="0" applyFont="1" applyFill="1" applyAlignment="1">
      <alignment horizontal="center" vertical="center"/>
    </xf>
    <xf numFmtId="164" fontId="5" fillId="3" borderId="0" xfId="0" applyNumberFormat="1" applyFont="1" applyFill="1" applyAlignment="1">
      <alignment horizontal="center" vertical="center"/>
    </xf>
    <xf numFmtId="0" fontId="3" fillId="6" borderId="0" xfId="0" applyFont="1" applyFill="1" applyAlignment="1">
      <alignment horizontal="center" vertical="center" wrapText="1"/>
    </xf>
    <xf numFmtId="0" fontId="4" fillId="7" borderId="1" xfId="0" applyFont="1" applyFill="1" applyBorder="1" applyAlignment="1">
      <alignment horizontal="left" vertical="center"/>
    </xf>
    <xf numFmtId="0" fontId="4" fillId="7" borderId="1" xfId="0" applyFont="1" applyFill="1" applyBorder="1" applyAlignment="1">
      <alignment horizontal="center" vertical="center"/>
    </xf>
    <xf numFmtId="0" fontId="6" fillId="7" borderId="1" xfId="0" applyFont="1" applyFill="1" applyBorder="1" applyAlignment="1">
      <alignment horizontal="center" vertical="center"/>
    </xf>
    <xf numFmtId="0" fontId="7" fillId="8" borderId="1" xfId="0" applyFont="1" applyFill="1" applyBorder="1" applyAlignment="1">
      <alignment horizontal="center" vertical="center"/>
    </xf>
    <xf numFmtId="1" fontId="4" fillId="7" borderId="1" xfId="0" applyNumberFormat="1" applyFont="1" applyFill="1" applyBorder="1" applyAlignment="1">
      <alignment horizontal="center" vertical="center"/>
    </xf>
    <xf numFmtId="1" fontId="8" fillId="7" borderId="1" xfId="0" applyNumberFormat="1" applyFont="1" applyFill="1" applyBorder="1" applyAlignment="1">
      <alignment horizontal="center" vertical="center"/>
    </xf>
    <xf numFmtId="0" fontId="4" fillId="8" borderId="1" xfId="0" applyFont="1" applyFill="1" applyBorder="1" applyAlignment="1">
      <alignment horizontal="left" vertical="center"/>
    </xf>
    <xf numFmtId="0" fontId="4" fillId="8" borderId="1" xfId="0" applyFont="1" applyFill="1" applyBorder="1" applyAlignment="1">
      <alignment horizontal="center" vertical="center"/>
    </xf>
    <xf numFmtId="1" fontId="4" fillId="8" borderId="1" xfId="0" applyNumberFormat="1" applyFont="1" applyFill="1" applyBorder="1" applyAlignment="1">
      <alignment horizontal="center" vertical="center"/>
    </xf>
    <xf numFmtId="1" fontId="8" fillId="8" borderId="1" xfId="0" applyNumberFormat="1" applyFont="1" applyFill="1" applyBorder="1" applyAlignment="1">
      <alignment horizontal="center" vertical="center"/>
    </xf>
    <xf numFmtId="0" fontId="9" fillId="9" borderId="1" xfId="0" applyFont="1" applyFill="1" applyBorder="1" applyAlignment="1">
      <alignment horizontal="center" vertical="center"/>
    </xf>
    <xf numFmtId="0" fontId="4" fillId="10" borderId="1" xfId="0" applyFont="1" applyFill="1" applyBorder="1" applyAlignment="1">
      <alignment horizontal="left" vertical="center"/>
    </xf>
    <xf numFmtId="0" fontId="4" fillId="10" borderId="1" xfId="0" applyFont="1" applyFill="1" applyBorder="1" applyAlignment="1">
      <alignment horizontal="center" vertical="center"/>
    </xf>
    <xf numFmtId="1" fontId="4" fillId="10" borderId="1" xfId="0" applyNumberFormat="1" applyFont="1" applyFill="1" applyBorder="1" applyAlignment="1">
      <alignment horizontal="center" vertical="center"/>
    </xf>
    <xf numFmtId="1" fontId="8" fillId="10" borderId="1" xfId="0" applyNumberFormat="1" applyFont="1" applyFill="1" applyBorder="1" applyAlignment="1">
      <alignment horizontal="center" vertical="center"/>
    </xf>
    <xf numFmtId="0" fontId="10" fillId="10" borderId="1" xfId="0" applyFont="1" applyFill="1" applyBorder="1" applyAlignment="1">
      <alignment horizontal="center" vertical="center"/>
    </xf>
    <xf numFmtId="0" fontId="4" fillId="9" borderId="1" xfId="0" applyFont="1" applyFill="1" applyBorder="1" applyAlignment="1">
      <alignment horizontal="left" vertical="center"/>
    </xf>
    <xf numFmtId="0" fontId="4" fillId="9" borderId="1" xfId="0" applyFont="1" applyFill="1" applyBorder="1" applyAlignment="1">
      <alignment horizontal="center" vertical="center"/>
    </xf>
    <xf numFmtId="1" fontId="4" fillId="9" borderId="1" xfId="0" applyNumberFormat="1" applyFont="1" applyFill="1" applyBorder="1" applyAlignment="1">
      <alignment horizontal="center" vertical="center"/>
    </xf>
    <xf numFmtId="1" fontId="8" fillId="9" borderId="1" xfId="0" applyNumberFormat="1" applyFont="1" applyFill="1" applyBorder="1" applyAlignment="1">
      <alignment horizontal="center" vertical="center"/>
    </xf>
    <xf numFmtId="0" fontId="3" fillId="11" borderId="0" xfId="0" applyFont="1" applyFill="1" applyAlignment="1">
      <alignment horizontal="center" vertical="center" wrapText="1"/>
    </xf>
    <xf numFmtId="0" fontId="12" fillId="0" borderId="0" xfId="0" applyFont="1"/>
    <xf numFmtId="0" fontId="11" fillId="12" borderId="1" xfId="0" applyFont="1" applyFill="1" applyBorder="1" applyAlignment="1">
      <alignment horizontal="center" vertical="center"/>
    </xf>
    <xf numFmtId="3" fontId="4" fillId="12" borderId="1" xfId="0" applyNumberFormat="1" applyFont="1" applyFill="1" applyBorder="1" applyAlignment="1">
      <alignment horizontal="center" vertical="center"/>
    </xf>
    <xf numFmtId="1" fontId="11" fillId="7" borderId="1" xfId="0" applyNumberFormat="1" applyFont="1" applyFill="1" applyBorder="1" applyAlignment="1">
      <alignment horizontal="center" vertical="center"/>
    </xf>
    <xf numFmtId="0" fontId="4" fillId="12" borderId="1" xfId="0" applyFont="1" applyFill="1" applyBorder="1" applyAlignment="1">
      <alignment horizontal="left" vertical="center"/>
    </xf>
    <xf numFmtId="0" fontId="11" fillId="13" borderId="1" xfId="0" applyFont="1" applyFill="1" applyBorder="1" applyAlignment="1">
      <alignment horizontal="center" vertical="center"/>
    </xf>
    <xf numFmtId="3" fontId="4" fillId="13" borderId="1" xfId="0" applyNumberFormat="1" applyFont="1" applyFill="1" applyBorder="1" applyAlignment="1">
      <alignment horizontal="center" vertical="center"/>
    </xf>
    <xf numFmtId="0" fontId="4" fillId="13" borderId="1" xfId="0" applyFont="1" applyFill="1" applyBorder="1" applyAlignment="1">
      <alignment horizontal="left" vertical="center"/>
    </xf>
    <xf numFmtId="1" fontId="11" fillId="8" borderId="1" xfId="0" applyNumberFormat="1" applyFont="1" applyFill="1" applyBorder="1" applyAlignment="1">
      <alignment horizontal="center" vertical="center"/>
    </xf>
    <xf numFmtId="1" fontId="11" fillId="9" borderId="1"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1" fillId="4" borderId="1" xfId="0" applyFont="1" applyFill="1" applyBorder="1" applyAlignment="1">
      <alignment horizontal="left" vertical="center"/>
    </xf>
    <xf numFmtId="1" fontId="4" fillId="4" borderId="1" xfId="0" applyNumberFormat="1" applyFont="1" applyFill="1" applyBorder="1" applyAlignment="1">
      <alignment horizontal="center" vertical="center"/>
    </xf>
    <xf numFmtId="1" fontId="6" fillId="7" borderId="1" xfId="0" applyNumberFormat="1" applyFont="1" applyFill="1" applyBorder="1" applyAlignment="1">
      <alignment horizontal="center" vertical="center"/>
    </xf>
    <xf numFmtId="0" fontId="6" fillId="7" borderId="1" xfId="0" applyFont="1" applyFill="1" applyBorder="1" applyAlignment="1">
      <alignment horizontal="left" vertical="center"/>
    </xf>
    <xf numFmtId="0" fontId="11" fillId="5" borderId="1" xfId="0" applyFont="1" applyFill="1" applyBorder="1" applyAlignment="1">
      <alignment horizontal="left" vertical="center"/>
    </xf>
    <xf numFmtId="1" fontId="4" fillId="5" borderId="1" xfId="0" applyNumberFormat="1" applyFont="1" applyFill="1" applyBorder="1" applyAlignment="1">
      <alignment horizontal="center" vertical="center"/>
    </xf>
    <xf numFmtId="0" fontId="7" fillId="8" borderId="1" xfId="0" applyFont="1" applyFill="1" applyBorder="1" applyAlignment="1">
      <alignment horizontal="left" vertical="center"/>
    </xf>
    <xf numFmtId="0" fontId="10" fillId="10" borderId="1" xfId="0" applyFont="1" applyFill="1" applyBorder="1" applyAlignment="1">
      <alignment horizontal="left" vertical="center"/>
    </xf>
    <xf numFmtId="1" fontId="7" fillId="8" borderId="1" xfId="0" applyNumberFormat="1" applyFont="1" applyFill="1" applyBorder="1" applyAlignment="1">
      <alignment horizontal="center" vertical="center"/>
    </xf>
    <xf numFmtId="1" fontId="9" fillId="9" borderId="1" xfId="0" applyNumberFormat="1" applyFont="1" applyFill="1" applyBorder="1" applyAlignment="1">
      <alignment horizontal="center" vertical="center"/>
    </xf>
    <xf numFmtId="0" fontId="9" fillId="9" borderId="1" xfId="0" applyFont="1" applyFill="1" applyBorder="1" applyAlignment="1">
      <alignment horizontal="left" vertical="center"/>
    </xf>
    <xf numFmtId="0" fontId="3" fillId="15" borderId="0" xfId="0" applyFont="1" applyFill="1" applyAlignment="1">
      <alignment horizontal="center" vertical="center" wrapText="1"/>
    </xf>
    <xf numFmtId="0" fontId="11" fillId="16" borderId="1" xfId="0" applyFont="1" applyFill="1" applyBorder="1" applyAlignment="1">
      <alignment horizontal="left" vertical="center"/>
    </xf>
    <xf numFmtId="1" fontId="4" fillId="16" borderId="1" xfId="0" applyNumberFormat="1" applyFont="1" applyFill="1" applyBorder="1" applyAlignment="1">
      <alignment horizontal="center" vertical="center"/>
    </xf>
    <xf numFmtId="3" fontId="4" fillId="16" borderId="1" xfId="0" applyNumberFormat="1" applyFont="1" applyFill="1" applyBorder="1" applyAlignment="1">
      <alignment horizontal="center" vertical="center"/>
    </xf>
    <xf numFmtId="164" fontId="8" fillId="16" borderId="1" xfId="0" applyNumberFormat="1" applyFont="1" applyFill="1" applyBorder="1" applyAlignment="1">
      <alignment horizontal="center" vertical="center"/>
    </xf>
    <xf numFmtId="0" fontId="4" fillId="16" borderId="1" xfId="0" applyFont="1" applyFill="1" applyBorder="1" applyAlignment="1">
      <alignment horizontal="left" vertical="center"/>
    </xf>
    <xf numFmtId="0" fontId="11" fillId="9" borderId="1" xfId="0" applyFont="1" applyFill="1" applyBorder="1" applyAlignment="1">
      <alignment horizontal="left" vertical="center"/>
    </xf>
    <xf numFmtId="3" fontId="4" fillId="9" borderId="1" xfId="0" applyNumberFormat="1" applyFont="1" applyFill="1" applyBorder="1" applyAlignment="1">
      <alignment horizontal="center" vertical="center"/>
    </xf>
    <xf numFmtId="164" fontId="8" fillId="9" borderId="1" xfId="0" applyNumberFormat="1" applyFont="1" applyFill="1" applyBorder="1" applyAlignment="1">
      <alignment horizontal="center" vertical="center"/>
    </xf>
    <xf numFmtId="0" fontId="3" fillId="2" borderId="0" xfId="0" applyFont="1" applyFill="1" applyAlignment="1">
      <alignment horizontal="center" vertical="center" wrapText="1"/>
    </xf>
    <xf numFmtId="0" fontId="4" fillId="17" borderId="1" xfId="0" applyFont="1" applyFill="1" applyBorder="1" applyAlignment="1">
      <alignment horizontal="left" vertical="center"/>
    </xf>
    <xf numFmtId="0" fontId="4" fillId="17" borderId="1" xfId="0" applyFont="1" applyFill="1" applyBorder="1" applyAlignment="1">
      <alignment horizontal="center" vertical="center"/>
    </xf>
    <xf numFmtId="1" fontId="8" fillId="17" borderId="1" xfId="0" applyNumberFormat="1" applyFont="1" applyFill="1" applyBorder="1" applyAlignment="1">
      <alignment horizontal="center" vertical="center"/>
    </xf>
    <xf numFmtId="0" fontId="4" fillId="18" borderId="1" xfId="0" applyFont="1" applyFill="1" applyBorder="1" applyAlignment="1">
      <alignment horizontal="left" vertical="center"/>
    </xf>
    <xf numFmtId="0" fontId="4" fillId="18" borderId="1" xfId="0" applyFont="1" applyFill="1" applyBorder="1" applyAlignment="1">
      <alignment horizontal="center" vertical="center"/>
    </xf>
    <xf numFmtId="1" fontId="8" fillId="18"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4" borderId="1" xfId="0" applyFont="1" applyFill="1" applyBorder="1" applyAlignment="1">
      <alignment horizontal="center" vertical="center" wrapText="1"/>
    </xf>
    <xf numFmtId="0" fontId="29" fillId="4" borderId="1" xfId="0" applyFont="1" applyFill="1" applyBorder="1" applyAlignment="1">
      <alignment horizontal="left" vertical="center" wrapText="1"/>
    </xf>
    <xf numFmtId="0" fontId="11"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5" borderId="1" xfId="0" applyFont="1" applyFill="1" applyBorder="1" applyAlignment="1">
      <alignment horizontal="center" vertical="center" wrapText="1"/>
    </xf>
    <xf numFmtId="0" fontId="29" fillId="5" borderId="1" xfId="0" applyFont="1" applyFill="1" applyBorder="1" applyAlignment="1">
      <alignment horizontal="left" vertical="center" wrapText="1"/>
    </xf>
    <xf numFmtId="0" fontId="14" fillId="2" borderId="0" xfId="0" applyFont="1" applyFill="1" applyAlignment="1">
      <alignment horizontal="center" vertical="center"/>
    </xf>
    <xf numFmtId="0" fontId="0" fillId="0" borderId="0" xfId="0"/>
    <xf numFmtId="0" fontId="18" fillId="7" borderId="0" xfId="0" applyFont="1" applyFill="1" applyAlignment="1">
      <alignment horizontal="center" vertical="center"/>
    </xf>
    <xf numFmtId="0" fontId="20" fillId="8" borderId="0" xfId="0" applyFont="1" applyFill="1" applyAlignment="1">
      <alignment horizontal="center" vertical="center"/>
    </xf>
    <xf numFmtId="0" fontId="21" fillId="9" borderId="0" xfId="0" applyFont="1" applyFill="1" applyAlignment="1">
      <alignment horizontal="center" vertical="center" wrapText="1"/>
    </xf>
    <xf numFmtId="0" fontId="27" fillId="2" borderId="0" xfId="0" applyFont="1" applyFill="1" applyAlignment="1">
      <alignment horizontal="center" vertical="center" wrapText="1"/>
    </xf>
    <xf numFmtId="0" fontId="0" fillId="15" borderId="0" xfId="0" applyFill="1"/>
    <xf numFmtId="0" fontId="25" fillId="18" borderId="0" xfId="0" applyFont="1" applyFill="1" applyAlignment="1">
      <alignment horizontal="center" vertical="center" wrapText="1"/>
    </xf>
    <xf numFmtId="0" fontId="4" fillId="0" borderId="0" xfId="0" applyFont="1" applyAlignment="1">
      <alignment horizontal="left" vertical="center" wrapText="1"/>
    </xf>
    <xf numFmtId="0" fontId="0" fillId="6" borderId="0" xfId="0" applyFill="1"/>
    <xf numFmtId="0" fontId="0" fillId="11" borderId="0" xfId="0" applyFill="1"/>
    <xf numFmtId="0" fontId="16" fillId="18" borderId="0" xfId="0" applyFont="1" applyFill="1" applyAlignment="1">
      <alignment horizontal="center" vertical="center"/>
    </xf>
    <xf numFmtId="0" fontId="22" fillId="9" borderId="0" xfId="0" applyFont="1" applyFill="1" applyAlignment="1">
      <alignment horizontal="center" vertical="center"/>
    </xf>
    <xf numFmtId="0" fontId="24" fillId="19" borderId="0" xfId="0" applyFont="1" applyFill="1" applyAlignment="1">
      <alignment horizontal="center" vertical="center"/>
    </xf>
    <xf numFmtId="0" fontId="0" fillId="14" borderId="0" xfId="0" applyFill="1"/>
    <xf numFmtId="0" fontId="0" fillId="2" borderId="0" xfId="0" applyFill="1"/>
    <xf numFmtId="0" fontId="17" fillId="7" borderId="0" xfId="0" applyFont="1" applyFill="1" applyAlignment="1">
      <alignment horizontal="center" vertical="center" wrapText="1"/>
    </xf>
    <xf numFmtId="0" fontId="26" fillId="18" borderId="0" xfId="0" applyFont="1" applyFill="1" applyAlignment="1">
      <alignment horizontal="center" vertical="center"/>
    </xf>
    <xf numFmtId="0" fontId="23" fillId="19" borderId="0" xfId="0" applyFont="1" applyFill="1" applyAlignment="1">
      <alignment horizontal="center" vertical="center" wrapText="1"/>
    </xf>
    <xf numFmtId="0" fontId="0" fillId="3" borderId="0" xfId="0" applyFill="1"/>
    <xf numFmtId="0" fontId="19" fillId="8" borderId="0" xfId="0" applyFont="1" applyFill="1" applyAlignment="1">
      <alignment horizontal="center" vertical="center" wrapText="1"/>
    </xf>
    <xf numFmtId="0" fontId="15" fillId="18" borderId="0" xfId="0" applyFont="1" applyFill="1" applyAlignment="1">
      <alignment horizontal="center" vertical="center" wrapText="1"/>
    </xf>
    <xf numFmtId="0" fontId="2" fillId="0" borderId="0" xfId="0" applyFont="1" applyAlignment="1">
      <alignment horizontal="center"/>
    </xf>
    <xf numFmtId="0" fontId="1" fillId="2" borderId="0" xfId="0" applyFont="1" applyFill="1" applyAlignment="1">
      <alignment horizontal="center" vertical="center"/>
    </xf>
    <xf numFmtId="0" fontId="1" fillId="6" borderId="0" xfId="0" applyFont="1" applyFill="1" applyAlignment="1">
      <alignment horizontal="center" vertical="center"/>
    </xf>
    <xf numFmtId="0" fontId="1" fillId="11" borderId="0" xfId="0" applyFont="1" applyFill="1" applyAlignment="1">
      <alignment horizontal="center" vertical="center"/>
    </xf>
    <xf numFmtId="0" fontId="8" fillId="7" borderId="0" xfId="0" applyFont="1" applyFill="1" applyAlignment="1">
      <alignment horizontal="center"/>
    </xf>
    <xf numFmtId="164" fontId="13" fillId="6" borderId="0" xfId="0" applyNumberFormat="1" applyFont="1" applyFill="1" applyAlignment="1">
      <alignment horizontal="center"/>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2" fillId="5" borderId="0" xfId="0" applyFont="1" applyFill="1" applyAlignment="1">
      <alignment horizontal="center" vertical="center" wrapText="1"/>
    </xf>
    <xf numFmtId="0" fontId="28" fillId="2" borderId="0" xfId="0" applyFont="1" applyFill="1" applyAlignment="1">
      <alignment horizontal="center" vertical="center"/>
    </xf>
    <xf numFmtId="0" fontId="2" fillId="10" borderId="1"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Encryption Distribution by Vessel Category</a:t>
            </a:r>
          </a:p>
        </c:rich>
      </c:tx>
      <c:overlay val="1"/>
    </c:title>
    <c:autoTitleDeleted val="0"/>
    <c:plotArea>
      <c:layout/>
      <c:barChart>
        <c:barDir val="bar"/>
        <c:grouping val="stacked"/>
        <c:varyColors val="1"/>
        <c:ser>
          <c:idx val="0"/>
          <c:order val="0"/>
          <c:tx>
            <c:strRef>
              <c:f>'1. Fleet Encryption Usage'!$C$4</c:f>
              <c:strCache>
                <c:ptCount val="1"/>
                <c:pt idx="0">
                  <c:v>RSA-2048 Only</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Usage'!$C$5:$C$12</c:f>
              <c:numCache>
                <c:formatCode>#,##0</c:formatCode>
                <c:ptCount val="8"/>
                <c:pt idx="0">
                  <c:v>9800</c:v>
                </c:pt>
                <c:pt idx="1">
                  <c:v>4200</c:v>
                </c:pt>
                <c:pt idx="2">
                  <c:v>5600</c:v>
                </c:pt>
                <c:pt idx="3">
                  <c:v>1960</c:v>
                </c:pt>
                <c:pt idx="4">
                  <c:v>400</c:v>
                </c:pt>
                <c:pt idx="5">
                  <c:v>300</c:v>
                </c:pt>
                <c:pt idx="6">
                  <c:v>1750</c:v>
                </c:pt>
                <c:pt idx="7">
                  <c:v>600</c:v>
                </c:pt>
              </c:numCache>
            </c:numRef>
          </c:val>
          <c:extLst>
            <c:ext xmlns:c16="http://schemas.microsoft.com/office/drawing/2014/chart" uri="{C3380CC4-5D6E-409C-BE32-E72D297353CC}">
              <c16:uniqueId val="{00000000-0461-400D-BCEC-2A964042117C}"/>
            </c:ext>
          </c:extLst>
        </c:ser>
        <c:ser>
          <c:idx val="1"/>
          <c:order val="1"/>
          <c:tx>
            <c:strRef>
              <c:f>'1. Fleet Encryption Usage'!$D$4</c:f>
              <c:strCache>
                <c:ptCount val="1"/>
                <c:pt idx="0">
                  <c:v>ECC Only</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Usage'!$D$5:$D$12</c:f>
              <c:numCache>
                <c:formatCode>#,##0</c:formatCode>
                <c:ptCount val="8"/>
                <c:pt idx="0">
                  <c:v>3360</c:v>
                </c:pt>
                <c:pt idx="1">
                  <c:v>1440</c:v>
                </c:pt>
                <c:pt idx="2">
                  <c:v>1920</c:v>
                </c:pt>
                <c:pt idx="3">
                  <c:v>840</c:v>
                </c:pt>
                <c:pt idx="4">
                  <c:v>480</c:v>
                </c:pt>
                <c:pt idx="5">
                  <c:v>150</c:v>
                </c:pt>
                <c:pt idx="6">
                  <c:v>600</c:v>
                </c:pt>
                <c:pt idx="7">
                  <c:v>360</c:v>
                </c:pt>
              </c:numCache>
            </c:numRef>
          </c:val>
          <c:extLst>
            <c:ext xmlns:c16="http://schemas.microsoft.com/office/drawing/2014/chart" uri="{C3380CC4-5D6E-409C-BE32-E72D297353CC}">
              <c16:uniqueId val="{00000001-0461-400D-BCEC-2A964042117C}"/>
            </c:ext>
          </c:extLst>
        </c:ser>
        <c:ser>
          <c:idx val="2"/>
          <c:order val="2"/>
          <c:tx>
            <c:strRef>
              <c:f>'1. Fleet Encryption Usage'!$E$4</c:f>
              <c:strCache>
                <c:ptCount val="1"/>
                <c:pt idx="0">
                  <c:v>AES-256 Only</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Usage'!$E$5:$E$12</c:f>
              <c:numCache>
                <c:formatCode>#,##0</c:formatCode>
                <c:ptCount val="8"/>
                <c:pt idx="0">
                  <c:v>5040</c:v>
                </c:pt>
                <c:pt idx="1">
                  <c:v>2160</c:v>
                </c:pt>
                <c:pt idx="2">
                  <c:v>2880</c:v>
                </c:pt>
                <c:pt idx="3">
                  <c:v>1260</c:v>
                </c:pt>
                <c:pt idx="4">
                  <c:v>800</c:v>
                </c:pt>
                <c:pt idx="5">
                  <c:v>750</c:v>
                </c:pt>
                <c:pt idx="6">
                  <c:v>1000</c:v>
                </c:pt>
                <c:pt idx="7">
                  <c:v>540</c:v>
                </c:pt>
              </c:numCache>
            </c:numRef>
          </c:val>
          <c:extLst>
            <c:ext xmlns:c16="http://schemas.microsoft.com/office/drawing/2014/chart" uri="{C3380CC4-5D6E-409C-BE32-E72D297353CC}">
              <c16:uniqueId val="{00000002-0461-400D-BCEC-2A964042117C}"/>
            </c:ext>
          </c:extLst>
        </c:ser>
        <c:ser>
          <c:idx val="3"/>
          <c:order val="3"/>
          <c:tx>
            <c:strRef>
              <c:f>'1. Fleet Encryption Usage'!$F$4</c:f>
              <c:strCache>
                <c:ptCount val="1"/>
                <c:pt idx="0">
                  <c:v>RSA + AES (Hybrid)</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Usage'!$F$5:$F$12</c:f>
              <c:numCache>
                <c:formatCode>#,##0</c:formatCode>
                <c:ptCount val="8"/>
                <c:pt idx="0">
                  <c:v>7560</c:v>
                </c:pt>
                <c:pt idx="1">
                  <c:v>2400</c:v>
                </c:pt>
                <c:pt idx="2">
                  <c:v>3840</c:v>
                </c:pt>
                <c:pt idx="3">
                  <c:v>1820</c:v>
                </c:pt>
                <c:pt idx="4">
                  <c:v>1280</c:v>
                </c:pt>
                <c:pt idx="5">
                  <c:v>450</c:v>
                </c:pt>
                <c:pt idx="6">
                  <c:v>900</c:v>
                </c:pt>
                <c:pt idx="7">
                  <c:v>900</c:v>
                </c:pt>
              </c:numCache>
            </c:numRef>
          </c:val>
          <c:extLst>
            <c:ext xmlns:c16="http://schemas.microsoft.com/office/drawing/2014/chart" uri="{C3380CC4-5D6E-409C-BE32-E72D297353CC}">
              <c16:uniqueId val="{00000003-0461-400D-BCEC-2A964042117C}"/>
            </c:ext>
          </c:extLst>
        </c:ser>
        <c:ser>
          <c:idx val="4"/>
          <c:order val="4"/>
          <c:tx>
            <c:strRef>
              <c:f>'1. Fleet Encryption Usage'!$G$4</c:f>
              <c:strCache>
                <c:ptCount val="1"/>
                <c:pt idx="0">
                  <c:v>PQC (Kyber/Dilithium)</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Usage'!$G$5:$G$12</c:f>
              <c:numCache>
                <c:formatCode>#,##0</c:formatCode>
                <c:ptCount val="8"/>
                <c:pt idx="0">
                  <c:v>840</c:v>
                </c:pt>
                <c:pt idx="1">
                  <c:v>600</c:v>
                </c:pt>
                <c:pt idx="2">
                  <c:v>480</c:v>
                </c:pt>
                <c:pt idx="3">
                  <c:v>700</c:v>
                </c:pt>
                <c:pt idx="4">
                  <c:v>840</c:v>
                </c:pt>
                <c:pt idx="5">
                  <c:v>75</c:v>
                </c:pt>
                <c:pt idx="6">
                  <c:v>250</c:v>
                </c:pt>
                <c:pt idx="7">
                  <c:v>300</c:v>
                </c:pt>
              </c:numCache>
            </c:numRef>
          </c:val>
          <c:extLst>
            <c:ext xmlns:c16="http://schemas.microsoft.com/office/drawing/2014/chart" uri="{C3380CC4-5D6E-409C-BE32-E72D297353CC}">
              <c16:uniqueId val="{00000004-0461-400D-BCEC-2A964042117C}"/>
            </c:ext>
          </c:extLst>
        </c:ser>
        <c:ser>
          <c:idx val="5"/>
          <c:order val="5"/>
          <c:tx>
            <c:strRef>
              <c:f>'1. Fleet Encryption Usage'!$H$4</c:f>
              <c:strCache>
                <c:ptCount val="1"/>
                <c:pt idx="0">
                  <c:v>Unencrypted / Legacy</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Usage'!$H$5:$H$12</c:f>
              <c:numCache>
                <c:formatCode>#,##0</c:formatCode>
                <c:ptCount val="8"/>
                <c:pt idx="0">
                  <c:v>2400</c:v>
                </c:pt>
                <c:pt idx="1">
                  <c:v>1200</c:v>
                </c:pt>
                <c:pt idx="2">
                  <c:v>1280</c:v>
                </c:pt>
                <c:pt idx="3">
                  <c:v>420</c:v>
                </c:pt>
                <c:pt idx="4">
                  <c:v>200</c:v>
                </c:pt>
                <c:pt idx="5">
                  <c:v>13275</c:v>
                </c:pt>
                <c:pt idx="6">
                  <c:v>500</c:v>
                </c:pt>
                <c:pt idx="7">
                  <c:v>300</c:v>
                </c:pt>
              </c:numCache>
            </c:numRef>
          </c:val>
          <c:extLst>
            <c:ext xmlns:c16="http://schemas.microsoft.com/office/drawing/2014/chart" uri="{C3380CC4-5D6E-409C-BE32-E72D297353CC}">
              <c16:uniqueId val="{00000005-0461-400D-BCEC-2A964042117C}"/>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IN"/>
                  <a:t>Vessel Category</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IN"/>
                  <a:t>Number of Vessels</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Fleet-Wide Encryption Algorithm Share</a:t>
            </a:r>
          </a:p>
        </c:rich>
      </c:tx>
      <c:overlay val="1"/>
    </c:title>
    <c:autoTitleDeleted val="0"/>
    <c:plotArea>
      <c:layout/>
      <c:pieChart>
        <c:varyColors val="1"/>
        <c:ser>
          <c:idx val="0"/>
          <c:order val="0"/>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Usage'!$C$13</c:f>
              <c:numCache>
                <c:formatCode>#,##0</c:formatCode>
                <c:ptCount val="1"/>
                <c:pt idx="0">
                  <c:v>24610</c:v>
                </c:pt>
              </c:numCache>
            </c:numRef>
          </c:val>
          <c:extLst>
            <c:ext xmlns:c16="http://schemas.microsoft.com/office/drawing/2014/chart" uri="{C3380CC4-5D6E-409C-BE32-E72D297353CC}">
              <c16:uniqueId val="{00000000-AAFF-4354-ADA9-E5D3E92C39B8}"/>
            </c:ext>
          </c:extLst>
        </c:ser>
        <c:ser>
          <c:idx val="1"/>
          <c:order val="1"/>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Usage'!$D$13</c:f>
              <c:numCache>
                <c:formatCode>#,##0</c:formatCode>
                <c:ptCount val="1"/>
                <c:pt idx="0">
                  <c:v>9150</c:v>
                </c:pt>
              </c:numCache>
            </c:numRef>
          </c:val>
          <c:extLst>
            <c:ext xmlns:c16="http://schemas.microsoft.com/office/drawing/2014/chart" uri="{C3380CC4-5D6E-409C-BE32-E72D297353CC}">
              <c16:uniqueId val="{00000001-AAFF-4354-ADA9-E5D3E92C39B8}"/>
            </c:ext>
          </c:extLst>
        </c:ser>
        <c:ser>
          <c:idx val="2"/>
          <c:order val="2"/>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Usage'!$E$13</c:f>
              <c:numCache>
                <c:formatCode>#,##0</c:formatCode>
                <c:ptCount val="1"/>
                <c:pt idx="0">
                  <c:v>14430</c:v>
                </c:pt>
              </c:numCache>
            </c:numRef>
          </c:val>
          <c:extLst>
            <c:ext xmlns:c16="http://schemas.microsoft.com/office/drawing/2014/chart" uri="{C3380CC4-5D6E-409C-BE32-E72D297353CC}">
              <c16:uniqueId val="{00000002-AAFF-4354-ADA9-E5D3E92C39B8}"/>
            </c:ext>
          </c:extLst>
        </c:ser>
        <c:ser>
          <c:idx val="3"/>
          <c:order val="3"/>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Usage'!$F$13</c:f>
              <c:numCache>
                <c:formatCode>#,##0</c:formatCode>
                <c:ptCount val="1"/>
                <c:pt idx="0">
                  <c:v>19150</c:v>
                </c:pt>
              </c:numCache>
            </c:numRef>
          </c:val>
          <c:extLst>
            <c:ext xmlns:c16="http://schemas.microsoft.com/office/drawing/2014/chart" uri="{C3380CC4-5D6E-409C-BE32-E72D297353CC}">
              <c16:uniqueId val="{00000003-AAFF-4354-ADA9-E5D3E92C39B8}"/>
            </c:ext>
          </c:extLst>
        </c:ser>
        <c:ser>
          <c:idx val="4"/>
          <c:order val="4"/>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Usage'!$G$13</c:f>
              <c:numCache>
                <c:formatCode>#,##0</c:formatCode>
                <c:ptCount val="1"/>
                <c:pt idx="0">
                  <c:v>4085</c:v>
                </c:pt>
              </c:numCache>
            </c:numRef>
          </c:val>
          <c:extLst>
            <c:ext xmlns:c16="http://schemas.microsoft.com/office/drawing/2014/chart" uri="{C3380CC4-5D6E-409C-BE32-E72D297353CC}">
              <c16:uniqueId val="{00000004-AAFF-4354-ADA9-E5D3E92C39B8}"/>
            </c:ext>
          </c:extLst>
        </c:ser>
        <c:ser>
          <c:idx val="5"/>
          <c:order val="5"/>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Usage'!$H$13</c:f>
              <c:numCache>
                <c:formatCode>#,##0</c:formatCode>
                <c:ptCount val="1"/>
                <c:pt idx="0">
                  <c:v>19575</c:v>
                </c:pt>
              </c:numCache>
            </c:numRef>
          </c:val>
          <c:extLst>
            <c:ext xmlns:c16="http://schemas.microsoft.com/office/drawing/2014/chart" uri="{C3380CC4-5D6E-409C-BE32-E72D297353CC}">
              <c16:uniqueId val="{00000005-AAFF-4354-ADA9-E5D3E92C39B8}"/>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Quantum Risk Score by Maritime System (Likelihood × Impact)</a:t>
            </a:r>
          </a:p>
        </c:rich>
      </c:tx>
      <c:overlay val="1"/>
    </c:title>
    <c:autoTitleDeleted val="0"/>
    <c:plotArea>
      <c:layout/>
      <c:barChart>
        <c:barDir val="bar"/>
        <c:grouping val="clustered"/>
        <c:varyColors val="1"/>
        <c:ser>
          <c:idx val="0"/>
          <c:order val="0"/>
          <c:tx>
            <c:strRef>
              <c:f>'2. Quantum Threat Risk'!$G$4</c:f>
              <c:strCache>
                <c:ptCount val="1"/>
                <c:pt idx="0">
                  <c:v>Risk Score</c:v>
                </c:pt>
              </c:strCache>
            </c:strRef>
          </c:tx>
          <c:spPr>
            <a:ln>
              <a:prstDash val="solid"/>
            </a:ln>
          </c:spPr>
          <c:invertIfNegative val="1"/>
          <c:cat>
            <c:strRef>
              <c:f>'2. Quantum Threat Risk'!$A$5:$A$18</c:f>
              <c:strCache>
                <c:ptCount val="14"/>
                <c:pt idx="0">
                  <c:v>AIS (Auto ID System)</c:v>
                </c:pt>
                <c:pt idx="1">
                  <c:v>ECDIS (Nav Charts)</c:v>
                </c:pt>
                <c:pt idx="2">
                  <c:v>SATCOM Communications</c:v>
                </c:pt>
                <c:pt idx="3">
                  <c:v>Port OT / SCADA</c:v>
                </c:pt>
                <c:pt idx="4">
                  <c:v>GMDSS (Safety Messaging)</c:v>
                </c:pt>
                <c:pt idx="5">
                  <c:v>AIS Firmware Updates</c:v>
                </c:pt>
                <c:pt idx="6">
                  <c:v>Vessel Email / Data Links</c:v>
                </c:pt>
                <c:pt idx="7">
                  <c:v>Engine OT Monitoring</c:v>
                </c:pt>
                <c:pt idx="8">
                  <c:v>Bridge Auth Systems</c:v>
                </c:pt>
                <c:pt idx="9">
                  <c:v>Cargo Manifest Systems</c:v>
                </c:pt>
                <c:pt idx="10">
                  <c:v>VSAT / Fleet Broadband</c:v>
                </c:pt>
                <c:pt idx="11">
                  <c:v>Biometric Access Control</c:v>
                </c:pt>
                <c:pt idx="12">
                  <c:v>PQC-Hybrid Pilot Systems</c:v>
                </c:pt>
                <c:pt idx="13">
                  <c:v>GNSS / GPS Receiver Auth</c:v>
                </c:pt>
              </c:strCache>
            </c:strRef>
          </c:cat>
          <c:val>
            <c:numRef>
              <c:f>'2. Quantum Threat Risk'!$G$5:$G$18</c:f>
              <c:numCache>
                <c:formatCode>0</c:formatCode>
                <c:ptCount val="14"/>
                <c:pt idx="0">
                  <c:v>81</c:v>
                </c:pt>
                <c:pt idx="1">
                  <c:v>80</c:v>
                </c:pt>
                <c:pt idx="2">
                  <c:v>72</c:v>
                </c:pt>
                <c:pt idx="3">
                  <c:v>70</c:v>
                </c:pt>
                <c:pt idx="4">
                  <c:v>81</c:v>
                </c:pt>
                <c:pt idx="5">
                  <c:v>56</c:v>
                </c:pt>
                <c:pt idx="6">
                  <c:v>48</c:v>
                </c:pt>
                <c:pt idx="7">
                  <c:v>42</c:v>
                </c:pt>
                <c:pt idx="8">
                  <c:v>40</c:v>
                </c:pt>
                <c:pt idx="9">
                  <c:v>42</c:v>
                </c:pt>
                <c:pt idx="10">
                  <c:v>42</c:v>
                </c:pt>
                <c:pt idx="11">
                  <c:v>20</c:v>
                </c:pt>
                <c:pt idx="12">
                  <c:v>2</c:v>
                </c:pt>
                <c:pt idx="13">
                  <c:v>54</c:v>
                </c:pt>
              </c:numCache>
            </c:numRef>
          </c:val>
          <c:extLst>
            <c:ext xmlns:c16="http://schemas.microsoft.com/office/drawing/2014/chart" uri="{C3380CC4-5D6E-409C-BE32-E72D297353CC}">
              <c16:uniqueId val="{00000000-42F0-490C-9F80-55CEF071FEE0}"/>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IN"/>
                  <a:t>Maritime System</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IN"/>
                  <a:t>Risk Score (max 100)</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PQC Readiness vs Risk Score — Maritime Systems</a:t>
            </a:r>
          </a:p>
        </c:rich>
      </c:tx>
      <c:overlay val="1"/>
    </c:title>
    <c:autoTitleDeleted val="0"/>
    <c:plotArea>
      <c:layout/>
      <c:barChart>
        <c:barDir val="col"/>
        <c:grouping val="clustered"/>
        <c:varyColors val="1"/>
        <c:ser>
          <c:idx val="0"/>
          <c:order val="0"/>
          <c:tx>
            <c:strRef>
              <c:f>'2. Quantum Threat Risk'!$G$4</c:f>
              <c:strCache>
                <c:ptCount val="1"/>
                <c:pt idx="0">
                  <c:v>Risk Score</c:v>
                </c:pt>
              </c:strCache>
            </c:strRef>
          </c:tx>
          <c:spPr>
            <a:ln>
              <a:prstDash val="solid"/>
            </a:ln>
          </c:spPr>
          <c:invertIfNegative val="1"/>
          <c:cat>
            <c:strRef>
              <c:f>'2. Quantum Threat Risk'!$A$5:$A$18</c:f>
              <c:strCache>
                <c:ptCount val="14"/>
                <c:pt idx="0">
                  <c:v>AIS (Auto ID System)</c:v>
                </c:pt>
                <c:pt idx="1">
                  <c:v>ECDIS (Nav Charts)</c:v>
                </c:pt>
                <c:pt idx="2">
                  <c:v>SATCOM Communications</c:v>
                </c:pt>
                <c:pt idx="3">
                  <c:v>Port OT / SCADA</c:v>
                </c:pt>
                <c:pt idx="4">
                  <c:v>GMDSS (Safety Messaging)</c:v>
                </c:pt>
                <c:pt idx="5">
                  <c:v>AIS Firmware Updates</c:v>
                </c:pt>
                <c:pt idx="6">
                  <c:v>Vessel Email / Data Links</c:v>
                </c:pt>
                <c:pt idx="7">
                  <c:v>Engine OT Monitoring</c:v>
                </c:pt>
                <c:pt idx="8">
                  <c:v>Bridge Auth Systems</c:v>
                </c:pt>
                <c:pt idx="9">
                  <c:v>Cargo Manifest Systems</c:v>
                </c:pt>
                <c:pt idx="10">
                  <c:v>VSAT / Fleet Broadband</c:v>
                </c:pt>
                <c:pt idx="11">
                  <c:v>Biometric Access Control</c:v>
                </c:pt>
                <c:pt idx="12">
                  <c:v>PQC-Hybrid Pilot Systems</c:v>
                </c:pt>
                <c:pt idx="13">
                  <c:v>GNSS / GPS Receiver Auth</c:v>
                </c:pt>
              </c:strCache>
            </c:strRef>
          </c:cat>
          <c:val>
            <c:numRef>
              <c:f>'2. Quantum Threat Risk'!$G$5:$G$18</c:f>
              <c:numCache>
                <c:formatCode>0</c:formatCode>
                <c:ptCount val="14"/>
                <c:pt idx="0">
                  <c:v>81</c:v>
                </c:pt>
                <c:pt idx="1">
                  <c:v>80</c:v>
                </c:pt>
                <c:pt idx="2">
                  <c:v>72</c:v>
                </c:pt>
                <c:pt idx="3">
                  <c:v>70</c:v>
                </c:pt>
                <c:pt idx="4">
                  <c:v>81</c:v>
                </c:pt>
                <c:pt idx="5">
                  <c:v>56</c:v>
                </c:pt>
                <c:pt idx="6">
                  <c:v>48</c:v>
                </c:pt>
                <c:pt idx="7">
                  <c:v>42</c:v>
                </c:pt>
                <c:pt idx="8">
                  <c:v>40</c:v>
                </c:pt>
                <c:pt idx="9">
                  <c:v>42</c:v>
                </c:pt>
                <c:pt idx="10">
                  <c:v>42</c:v>
                </c:pt>
                <c:pt idx="11">
                  <c:v>20</c:v>
                </c:pt>
                <c:pt idx="12">
                  <c:v>2</c:v>
                </c:pt>
                <c:pt idx="13">
                  <c:v>54</c:v>
                </c:pt>
              </c:numCache>
            </c:numRef>
          </c:val>
          <c:extLst>
            <c:ext xmlns:c16="http://schemas.microsoft.com/office/drawing/2014/chart" uri="{C3380CC4-5D6E-409C-BE32-E72D297353CC}">
              <c16:uniqueId val="{00000000-C1E8-404C-A1E0-A5027505061B}"/>
            </c:ext>
          </c:extLst>
        </c:ser>
        <c:ser>
          <c:idx val="1"/>
          <c:order val="1"/>
          <c:tx>
            <c:strRef>
              <c:f>'2. Quantum Threat Risk'!$H$4</c:f>
              <c:strCache>
                <c:ptCount val="1"/>
                <c:pt idx="0">
                  <c:v>PQC Readiness (1-10)</c:v>
                </c:pt>
              </c:strCache>
            </c:strRef>
          </c:tx>
          <c:spPr>
            <a:ln>
              <a:prstDash val="solid"/>
            </a:ln>
          </c:spPr>
          <c:invertIfNegative val="1"/>
          <c:cat>
            <c:strRef>
              <c:f>'2. Quantum Threat Risk'!$A$5:$A$18</c:f>
              <c:strCache>
                <c:ptCount val="14"/>
                <c:pt idx="0">
                  <c:v>AIS (Auto ID System)</c:v>
                </c:pt>
                <c:pt idx="1">
                  <c:v>ECDIS (Nav Charts)</c:v>
                </c:pt>
                <c:pt idx="2">
                  <c:v>SATCOM Communications</c:v>
                </c:pt>
                <c:pt idx="3">
                  <c:v>Port OT / SCADA</c:v>
                </c:pt>
                <c:pt idx="4">
                  <c:v>GMDSS (Safety Messaging)</c:v>
                </c:pt>
                <c:pt idx="5">
                  <c:v>AIS Firmware Updates</c:v>
                </c:pt>
                <c:pt idx="6">
                  <c:v>Vessel Email / Data Links</c:v>
                </c:pt>
                <c:pt idx="7">
                  <c:v>Engine OT Monitoring</c:v>
                </c:pt>
                <c:pt idx="8">
                  <c:v>Bridge Auth Systems</c:v>
                </c:pt>
                <c:pt idx="9">
                  <c:v>Cargo Manifest Systems</c:v>
                </c:pt>
                <c:pt idx="10">
                  <c:v>VSAT / Fleet Broadband</c:v>
                </c:pt>
                <c:pt idx="11">
                  <c:v>Biometric Access Control</c:v>
                </c:pt>
                <c:pt idx="12">
                  <c:v>PQC-Hybrid Pilot Systems</c:v>
                </c:pt>
                <c:pt idx="13">
                  <c:v>GNSS / GPS Receiver Auth</c:v>
                </c:pt>
              </c:strCache>
            </c:strRef>
          </c:cat>
          <c:val>
            <c:numRef>
              <c:f>'2. Quantum Threat Risk'!$H$5:$H$18</c:f>
              <c:numCache>
                <c:formatCode>0</c:formatCode>
                <c:ptCount val="14"/>
                <c:pt idx="0">
                  <c:v>2</c:v>
                </c:pt>
                <c:pt idx="1">
                  <c:v>2</c:v>
                </c:pt>
                <c:pt idx="2">
                  <c:v>3</c:v>
                </c:pt>
                <c:pt idx="3">
                  <c:v>2</c:v>
                </c:pt>
                <c:pt idx="4">
                  <c:v>1</c:v>
                </c:pt>
                <c:pt idx="5">
                  <c:v>3</c:v>
                </c:pt>
                <c:pt idx="6">
                  <c:v>4</c:v>
                </c:pt>
                <c:pt idx="7">
                  <c:v>5</c:v>
                </c:pt>
                <c:pt idx="8">
                  <c:v>6</c:v>
                </c:pt>
                <c:pt idx="9">
                  <c:v>5</c:v>
                </c:pt>
                <c:pt idx="10">
                  <c:v>4</c:v>
                </c:pt>
                <c:pt idx="11">
                  <c:v>7</c:v>
                </c:pt>
                <c:pt idx="12">
                  <c:v>9</c:v>
                </c:pt>
                <c:pt idx="13">
                  <c:v>5</c:v>
                </c:pt>
              </c:numCache>
            </c:numRef>
          </c:val>
          <c:extLst>
            <c:ext xmlns:c16="http://schemas.microsoft.com/office/drawing/2014/chart" uri="{C3380CC4-5D6E-409C-BE32-E72D297353CC}">
              <c16:uniqueId val="{00000001-C1E8-404C-A1E0-A5027505061B}"/>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IN"/>
                  <a:t>System</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Score</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Physical Qubits Required to Break Cryptographic Algorithms (Shor's)</a:t>
            </a:r>
          </a:p>
        </c:rich>
      </c:tx>
      <c:overlay val="1"/>
    </c:title>
    <c:autoTitleDeleted val="0"/>
    <c:plotArea>
      <c:layout/>
      <c:barChart>
        <c:barDir val="col"/>
        <c:grouping val="clustered"/>
        <c:varyColors val="1"/>
        <c:ser>
          <c:idx val="0"/>
          <c:order val="0"/>
          <c:tx>
            <c:strRef>
              <c:f>'3. Shors Algorithm Timeline'!$J$4</c:f>
              <c:strCache>
                <c:ptCount val="1"/>
                <c:pt idx="0">
                  <c:v>Physical Qubits (M)</c:v>
                </c:pt>
              </c:strCache>
            </c:strRef>
          </c:tx>
          <c:spPr>
            <a:ln>
              <a:prstDash val="solid"/>
            </a:ln>
          </c:spPr>
          <c:invertIfNegative val="1"/>
          <c:cat>
            <c:strRef>
              <c:f>'3. Shors Algorithm Timeline'!$I$5:$I$14</c:f>
              <c:strCache>
                <c:ptCount val="10"/>
                <c:pt idx="0">
                  <c:v>RSA-512</c:v>
                </c:pt>
                <c:pt idx="1">
                  <c:v>RSA-1024</c:v>
                </c:pt>
                <c:pt idx="2">
                  <c:v>RSA-2048</c:v>
                </c:pt>
                <c:pt idx="3">
                  <c:v>RSA-4096</c:v>
                </c:pt>
                <c:pt idx="4">
                  <c:v>ECC-160</c:v>
                </c:pt>
                <c:pt idx="5">
                  <c:v>ECC-256</c:v>
                </c:pt>
                <c:pt idx="6">
                  <c:v>ECC-384</c:v>
                </c:pt>
                <c:pt idx="7">
                  <c:v>ECC-521</c:v>
                </c:pt>
                <c:pt idx="8">
                  <c:v>DH-2048</c:v>
                </c:pt>
                <c:pt idx="9">
                  <c:v>DH-4096</c:v>
                </c:pt>
              </c:strCache>
            </c:strRef>
          </c:cat>
          <c:val>
            <c:numRef>
              <c:f>'3. Shors Algorithm Timeline'!$J$5:$J$14</c:f>
              <c:numCache>
                <c:formatCode>General</c:formatCode>
                <c:ptCount val="10"/>
                <c:pt idx="0">
                  <c:v>2</c:v>
                </c:pt>
                <c:pt idx="1">
                  <c:v>4</c:v>
                </c:pt>
                <c:pt idx="2">
                  <c:v>8</c:v>
                </c:pt>
                <c:pt idx="3">
                  <c:v>16</c:v>
                </c:pt>
                <c:pt idx="4">
                  <c:v>0.8</c:v>
                </c:pt>
                <c:pt idx="5">
                  <c:v>1.2</c:v>
                </c:pt>
                <c:pt idx="6">
                  <c:v>1.8</c:v>
                </c:pt>
                <c:pt idx="7">
                  <c:v>2.5</c:v>
                </c:pt>
                <c:pt idx="8">
                  <c:v>8</c:v>
                </c:pt>
                <c:pt idx="9">
                  <c:v>16</c:v>
                </c:pt>
              </c:numCache>
            </c:numRef>
          </c:val>
          <c:extLst>
            <c:ext xmlns:c16="http://schemas.microsoft.com/office/drawing/2014/chart" uri="{C3380CC4-5D6E-409C-BE32-E72D297353CC}">
              <c16:uniqueId val="{00000000-57BD-41DD-A64B-5659EEF28AD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IN"/>
                  <a:t>Algorithm + Key Size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Physical Qubits (millions)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Vessels Using Each Symmetric Encryption Algorithm</a:t>
            </a:r>
          </a:p>
        </c:rich>
      </c:tx>
      <c:overlay val="1"/>
    </c:title>
    <c:autoTitleDeleted val="0"/>
    <c:plotArea>
      <c:layout/>
      <c:barChart>
        <c:barDir val="col"/>
        <c:grouping val="clustered"/>
        <c:varyColors val="1"/>
        <c:ser>
          <c:idx val="0"/>
          <c:order val="0"/>
          <c:tx>
            <c:strRef>
              <c:f>'4. Grovers AES Impact'!$E$4</c:f>
              <c:strCache>
                <c:ptCount val="1"/>
                <c:pt idx="0">
                  <c:v>Vessels Using (est.)</c:v>
                </c:pt>
              </c:strCache>
            </c:strRef>
          </c:tx>
          <c:spPr>
            <a:ln>
              <a:prstDash val="solid"/>
            </a:ln>
          </c:spPr>
          <c:invertIfNegative val="1"/>
          <c:cat>
            <c:strRef>
              <c:f>'4. Grovers AES Impact'!$A$5:$A$12</c:f>
              <c:strCache>
                <c:ptCount val="8"/>
                <c:pt idx="0">
                  <c:v>DES</c:v>
                </c:pt>
                <c:pt idx="1">
                  <c:v>3DES</c:v>
                </c:pt>
                <c:pt idx="2">
                  <c:v>AES-128</c:v>
                </c:pt>
                <c:pt idx="3">
                  <c:v>AES-192</c:v>
                </c:pt>
                <c:pt idx="4">
                  <c:v>AES-256</c:v>
                </c:pt>
                <c:pt idx="5">
                  <c:v>ChaCha20</c:v>
                </c:pt>
                <c:pt idx="6">
                  <c:v>AES-128 + PQC Hybrid</c:v>
                </c:pt>
                <c:pt idx="7">
                  <c:v>AES-256 + PQC Hybrid</c:v>
                </c:pt>
              </c:strCache>
            </c:strRef>
          </c:cat>
          <c:val>
            <c:numRef>
              <c:f>'4. Grovers AES Impact'!$E$5:$E$12</c:f>
              <c:numCache>
                <c:formatCode>#,##0</c:formatCode>
                <c:ptCount val="8"/>
                <c:pt idx="0">
                  <c:v>1500</c:v>
                </c:pt>
                <c:pt idx="1">
                  <c:v>4200</c:v>
                </c:pt>
                <c:pt idx="2">
                  <c:v>28000</c:v>
                </c:pt>
                <c:pt idx="3">
                  <c:v>8500</c:v>
                </c:pt>
                <c:pt idx="4">
                  <c:v>22000</c:v>
                </c:pt>
                <c:pt idx="5">
                  <c:v>6000</c:v>
                </c:pt>
                <c:pt idx="6">
                  <c:v>1200</c:v>
                </c:pt>
                <c:pt idx="7">
                  <c:v>800</c:v>
                </c:pt>
              </c:numCache>
            </c:numRef>
          </c:val>
          <c:extLst>
            <c:ext xmlns:c16="http://schemas.microsoft.com/office/drawing/2014/chart" uri="{C3380CC4-5D6E-409C-BE32-E72D297353CC}">
              <c16:uniqueId val="{00000000-F7A1-4991-A290-FF3F576E14D7}"/>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IN"/>
                  <a:t>Encryption Algorithm</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Number of Vessels (estimated)</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Effective Security: Classical vs Post-Grover (bits)</a:t>
            </a:r>
          </a:p>
        </c:rich>
      </c:tx>
      <c:overlay val="1"/>
    </c:title>
    <c:autoTitleDeleted val="0"/>
    <c:plotArea>
      <c:layout/>
      <c:barChart>
        <c:barDir val="col"/>
        <c:grouping val="clustered"/>
        <c:varyColors val="1"/>
        <c:ser>
          <c:idx val="0"/>
          <c:order val="0"/>
          <c:tx>
            <c:strRef>
              <c:f>'4. Grovers AES Impact'!$C$4</c:f>
              <c:strCache>
                <c:ptCount val="1"/>
                <c:pt idx="0">
                  <c:v>Classical Security (bits)</c:v>
                </c:pt>
              </c:strCache>
            </c:strRef>
          </c:tx>
          <c:spPr>
            <a:ln>
              <a:prstDash val="solid"/>
            </a:ln>
          </c:spPr>
          <c:invertIfNegative val="1"/>
          <c:cat>
            <c:strRef>
              <c:f>'4. Grovers AES Impact'!$A$5:$A$12</c:f>
              <c:strCache>
                <c:ptCount val="8"/>
                <c:pt idx="0">
                  <c:v>DES</c:v>
                </c:pt>
                <c:pt idx="1">
                  <c:v>3DES</c:v>
                </c:pt>
                <c:pt idx="2">
                  <c:v>AES-128</c:v>
                </c:pt>
                <c:pt idx="3">
                  <c:v>AES-192</c:v>
                </c:pt>
                <c:pt idx="4">
                  <c:v>AES-256</c:v>
                </c:pt>
                <c:pt idx="5">
                  <c:v>ChaCha20</c:v>
                </c:pt>
                <c:pt idx="6">
                  <c:v>AES-128 + PQC Hybrid</c:v>
                </c:pt>
                <c:pt idx="7">
                  <c:v>AES-256 + PQC Hybrid</c:v>
                </c:pt>
              </c:strCache>
            </c:strRef>
          </c:cat>
          <c:val>
            <c:numRef>
              <c:f>'4. Grovers AES Impact'!$C$5:$C$12</c:f>
              <c:numCache>
                <c:formatCode>0</c:formatCode>
                <c:ptCount val="8"/>
                <c:pt idx="0">
                  <c:v>56</c:v>
                </c:pt>
                <c:pt idx="1">
                  <c:v>112</c:v>
                </c:pt>
                <c:pt idx="2">
                  <c:v>128</c:v>
                </c:pt>
                <c:pt idx="3">
                  <c:v>192</c:v>
                </c:pt>
                <c:pt idx="4">
                  <c:v>256</c:v>
                </c:pt>
                <c:pt idx="5">
                  <c:v>256</c:v>
                </c:pt>
                <c:pt idx="6">
                  <c:v>256</c:v>
                </c:pt>
                <c:pt idx="7">
                  <c:v>384</c:v>
                </c:pt>
              </c:numCache>
            </c:numRef>
          </c:val>
          <c:extLst>
            <c:ext xmlns:c16="http://schemas.microsoft.com/office/drawing/2014/chart" uri="{C3380CC4-5D6E-409C-BE32-E72D297353CC}">
              <c16:uniqueId val="{00000000-F046-4E1E-8EEA-B36547444E3D}"/>
            </c:ext>
          </c:extLst>
        </c:ser>
        <c:ser>
          <c:idx val="1"/>
          <c:order val="1"/>
          <c:tx>
            <c:strRef>
              <c:f>'4. Grovers AES Impact'!$D$4</c:f>
              <c:strCache>
                <c:ptCount val="1"/>
                <c:pt idx="0">
                  <c:v>Post-Grover Security (bits)</c:v>
                </c:pt>
              </c:strCache>
            </c:strRef>
          </c:tx>
          <c:spPr>
            <a:ln>
              <a:prstDash val="solid"/>
            </a:ln>
          </c:spPr>
          <c:invertIfNegative val="1"/>
          <c:cat>
            <c:strRef>
              <c:f>'4. Grovers AES Impact'!$A$5:$A$12</c:f>
              <c:strCache>
                <c:ptCount val="8"/>
                <c:pt idx="0">
                  <c:v>DES</c:v>
                </c:pt>
                <c:pt idx="1">
                  <c:v>3DES</c:v>
                </c:pt>
                <c:pt idx="2">
                  <c:v>AES-128</c:v>
                </c:pt>
                <c:pt idx="3">
                  <c:v>AES-192</c:v>
                </c:pt>
                <c:pt idx="4">
                  <c:v>AES-256</c:v>
                </c:pt>
                <c:pt idx="5">
                  <c:v>ChaCha20</c:v>
                </c:pt>
                <c:pt idx="6">
                  <c:v>AES-128 + PQC Hybrid</c:v>
                </c:pt>
                <c:pt idx="7">
                  <c:v>AES-256 + PQC Hybrid</c:v>
                </c:pt>
              </c:strCache>
            </c:strRef>
          </c:cat>
          <c:val>
            <c:numRef>
              <c:f>'4. Grovers AES Impact'!$D$5:$D$12</c:f>
              <c:numCache>
                <c:formatCode>0</c:formatCode>
                <c:ptCount val="8"/>
                <c:pt idx="0">
                  <c:v>28</c:v>
                </c:pt>
                <c:pt idx="1">
                  <c:v>56</c:v>
                </c:pt>
                <c:pt idx="2">
                  <c:v>64</c:v>
                </c:pt>
                <c:pt idx="3">
                  <c:v>96</c:v>
                </c:pt>
                <c:pt idx="4">
                  <c:v>128</c:v>
                </c:pt>
                <c:pt idx="5">
                  <c:v>128</c:v>
                </c:pt>
                <c:pt idx="6">
                  <c:v>256</c:v>
                </c:pt>
                <c:pt idx="7">
                  <c:v>384</c:v>
                </c:pt>
              </c:numCache>
            </c:numRef>
          </c:val>
          <c:extLst>
            <c:ext xmlns:c16="http://schemas.microsoft.com/office/drawing/2014/chart" uri="{C3380CC4-5D6E-409C-BE32-E72D297353CC}">
              <c16:uniqueId val="{00000001-F046-4E1E-8EEA-B36547444E3D}"/>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IN"/>
                  <a:t>Algorithm</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Security Bits</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PQC Migration Progress 2026–2032 (Number of Vessels)</a:t>
            </a:r>
          </a:p>
        </c:rich>
      </c:tx>
      <c:overlay val="1"/>
    </c:title>
    <c:autoTitleDeleted val="0"/>
    <c:plotArea>
      <c:layout/>
      <c:lineChart>
        <c:grouping val="standard"/>
        <c:varyColors val="1"/>
        <c:ser>
          <c:idx val="0"/>
          <c:order val="0"/>
          <c:tx>
            <c:strRef>
              <c:f>'5. PQC Migration Roadmap'!$D$4</c:f>
              <c:strCache>
                <c:ptCount val="1"/>
                <c:pt idx="0">
                  <c:v>Hybrid PQC Deployed</c:v>
                </c:pt>
              </c:strCache>
            </c:strRef>
          </c:tx>
          <c:spPr>
            <a:ln>
              <a:prstDash val="solid"/>
            </a:ln>
          </c:spPr>
          <c:marker>
            <c:symbol val="none"/>
          </c:marker>
          <c:cat>
            <c:numRef>
              <c:f>'5. PQC Migration Roadmap'!$B$5:$B$10</c:f>
              <c:numCache>
                <c:formatCode>0</c:formatCode>
                <c:ptCount val="6"/>
                <c:pt idx="0">
                  <c:v>2026</c:v>
                </c:pt>
                <c:pt idx="1">
                  <c:v>2027</c:v>
                </c:pt>
                <c:pt idx="2">
                  <c:v>2028</c:v>
                </c:pt>
                <c:pt idx="3">
                  <c:v>2029</c:v>
                </c:pt>
                <c:pt idx="4">
                  <c:v>2030</c:v>
                </c:pt>
                <c:pt idx="5">
                  <c:v>2032</c:v>
                </c:pt>
              </c:numCache>
            </c:numRef>
          </c:cat>
          <c:val>
            <c:numRef>
              <c:f>'5. PQC Migration Roadmap'!$D$5:$D$10</c:f>
              <c:numCache>
                <c:formatCode>#,##0</c:formatCode>
                <c:ptCount val="6"/>
                <c:pt idx="0">
                  <c:v>500</c:v>
                </c:pt>
                <c:pt idx="1">
                  <c:v>8000</c:v>
                </c:pt>
                <c:pt idx="2">
                  <c:v>20000</c:v>
                </c:pt>
                <c:pt idx="3">
                  <c:v>35000</c:v>
                </c:pt>
                <c:pt idx="4">
                  <c:v>50000</c:v>
                </c:pt>
                <c:pt idx="5">
                  <c:v>20000</c:v>
                </c:pt>
              </c:numCache>
            </c:numRef>
          </c:val>
          <c:smooth val="1"/>
          <c:extLst>
            <c:ext xmlns:c16="http://schemas.microsoft.com/office/drawing/2014/chart" uri="{C3380CC4-5D6E-409C-BE32-E72D297353CC}">
              <c16:uniqueId val="{00000000-9F43-454B-9410-1D68E234F354}"/>
            </c:ext>
          </c:extLst>
        </c:ser>
        <c:ser>
          <c:idx val="1"/>
          <c:order val="1"/>
          <c:tx>
            <c:strRef>
              <c:f>'5. PQC Migration Roadmap'!$E$4</c:f>
              <c:strCache>
                <c:ptCount val="1"/>
                <c:pt idx="0">
                  <c:v>Full PQC Deployed</c:v>
                </c:pt>
              </c:strCache>
            </c:strRef>
          </c:tx>
          <c:spPr>
            <a:ln>
              <a:prstDash val="solid"/>
            </a:ln>
          </c:spPr>
          <c:marker>
            <c:symbol val="none"/>
          </c:marker>
          <c:cat>
            <c:numRef>
              <c:f>'5. PQC Migration Roadmap'!$B$5:$B$10</c:f>
              <c:numCache>
                <c:formatCode>0</c:formatCode>
                <c:ptCount val="6"/>
                <c:pt idx="0">
                  <c:v>2026</c:v>
                </c:pt>
                <c:pt idx="1">
                  <c:v>2027</c:v>
                </c:pt>
                <c:pt idx="2">
                  <c:v>2028</c:v>
                </c:pt>
                <c:pt idx="3">
                  <c:v>2029</c:v>
                </c:pt>
                <c:pt idx="4">
                  <c:v>2030</c:v>
                </c:pt>
                <c:pt idx="5">
                  <c:v>2032</c:v>
                </c:pt>
              </c:numCache>
            </c:numRef>
          </c:cat>
          <c:val>
            <c:numRef>
              <c:f>'5. PQC Migration Roadmap'!$E$5:$E$10</c:f>
              <c:numCache>
                <c:formatCode>#,##0</c:formatCode>
                <c:ptCount val="6"/>
                <c:pt idx="0">
                  <c:v>200</c:v>
                </c:pt>
                <c:pt idx="1">
                  <c:v>3000</c:v>
                </c:pt>
                <c:pt idx="2">
                  <c:v>12000</c:v>
                </c:pt>
                <c:pt idx="3">
                  <c:v>30000</c:v>
                </c:pt>
                <c:pt idx="4">
                  <c:v>60000</c:v>
                </c:pt>
                <c:pt idx="5">
                  <c:v>85000</c:v>
                </c:pt>
              </c:numCache>
            </c:numRef>
          </c:val>
          <c:smooth val="1"/>
          <c:extLst>
            <c:ext xmlns:c16="http://schemas.microsoft.com/office/drawing/2014/chart" uri="{C3380CC4-5D6E-409C-BE32-E72D297353CC}">
              <c16:uniqueId val="{00000001-9F43-454B-9410-1D68E234F354}"/>
            </c:ext>
          </c:extLst>
        </c:ser>
        <c:ser>
          <c:idx val="2"/>
          <c:order val="2"/>
          <c:tx>
            <c:strRef>
              <c:f>'5. PQC Migration Roadmap'!$F$4</c:f>
              <c:strCache>
                <c:ptCount val="1"/>
                <c:pt idx="0">
                  <c:v>Legacy Retired</c:v>
                </c:pt>
              </c:strCache>
            </c:strRef>
          </c:tx>
          <c:spPr>
            <a:ln>
              <a:prstDash val="solid"/>
            </a:ln>
          </c:spPr>
          <c:marker>
            <c:symbol val="none"/>
          </c:marker>
          <c:cat>
            <c:numRef>
              <c:f>'5. PQC Migration Roadmap'!$B$5:$B$10</c:f>
              <c:numCache>
                <c:formatCode>0</c:formatCode>
                <c:ptCount val="6"/>
                <c:pt idx="0">
                  <c:v>2026</c:v>
                </c:pt>
                <c:pt idx="1">
                  <c:v>2027</c:v>
                </c:pt>
                <c:pt idx="2">
                  <c:v>2028</c:v>
                </c:pt>
                <c:pt idx="3">
                  <c:v>2029</c:v>
                </c:pt>
                <c:pt idx="4">
                  <c:v>2030</c:v>
                </c:pt>
                <c:pt idx="5">
                  <c:v>2032</c:v>
                </c:pt>
              </c:numCache>
            </c:numRef>
          </c:cat>
          <c:val>
            <c:numRef>
              <c:f>'5. PQC Migration Roadmap'!$F$5:$F$10</c:f>
              <c:numCache>
                <c:formatCode>#,##0</c:formatCode>
                <c:ptCount val="6"/>
                <c:pt idx="0">
                  <c:v>100</c:v>
                </c:pt>
                <c:pt idx="1">
                  <c:v>800</c:v>
                </c:pt>
                <c:pt idx="2">
                  <c:v>4000</c:v>
                </c:pt>
                <c:pt idx="3">
                  <c:v>12000</c:v>
                </c:pt>
                <c:pt idx="4">
                  <c:v>25000</c:v>
                </c:pt>
                <c:pt idx="5">
                  <c:v>55000</c:v>
                </c:pt>
              </c:numCache>
            </c:numRef>
          </c:val>
          <c:smooth val="1"/>
          <c:extLst>
            <c:ext xmlns:c16="http://schemas.microsoft.com/office/drawing/2014/chart" uri="{C3380CC4-5D6E-409C-BE32-E72D297353CC}">
              <c16:uniqueId val="{00000002-9F43-454B-9410-1D68E234F354}"/>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rPr lang="en-IN"/>
                  <a:t>Year</a:t>
                </a:r>
              </a:p>
            </c:rich>
          </c:tx>
          <c:overlay val="1"/>
        </c:title>
        <c:numFmt formatCode="0"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Vessels</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HNDL Risk Score by Maritime Data Type (Interception × Sensitivity)</a:t>
            </a:r>
          </a:p>
        </c:rich>
      </c:tx>
      <c:overlay val="1"/>
    </c:title>
    <c:autoTitleDeleted val="0"/>
    <c:plotArea>
      <c:layout/>
      <c:barChart>
        <c:barDir val="bar"/>
        <c:grouping val="clustered"/>
        <c:varyColors val="1"/>
        <c:ser>
          <c:idx val="0"/>
          <c:order val="0"/>
          <c:tx>
            <c:strRef>
              <c:f>'6. HNDL Threat Analysis'!$E$4</c:f>
              <c:strCache>
                <c:ptCount val="1"/>
                <c:pt idx="0">
                  <c:v>HNDL Risk Score</c:v>
                </c:pt>
              </c:strCache>
            </c:strRef>
          </c:tx>
          <c:spPr>
            <a:ln>
              <a:prstDash val="solid"/>
            </a:ln>
          </c:spPr>
          <c:invertIfNegative val="1"/>
          <c:cat>
            <c:strRef>
              <c:f>'6. HNDL Threat Analysis'!$A$5:$A$14</c:f>
              <c:strCache>
                <c:ptCount val="10"/>
                <c:pt idx="0">
                  <c:v>Vessel Position / Route Data</c:v>
                </c:pt>
                <c:pt idx="1">
                  <c:v>Crew Biometric / PII</c:v>
                </c:pt>
                <c:pt idx="2">
                  <c:v>Cargo Manifests &amp; Consignee</c:v>
                </c:pt>
                <c:pt idx="3">
                  <c:v>Satellite Comms (SATCOM)</c:v>
                </c:pt>
                <c:pt idx="4">
                  <c:v>Port Entry / Customs Data</c:v>
                </c:pt>
                <c:pt idx="5">
                  <c:v>Naval Patrol Routes</c:v>
                </c:pt>
                <c:pt idx="6">
                  <c:v>Engine Telemetry</c:v>
                </c:pt>
                <c:pt idx="7">
                  <c:v>Crew Communication (email)</c:v>
                </c:pt>
                <c:pt idx="8">
                  <c:v>Financial Transactions</c:v>
                </c:pt>
                <c:pt idx="9">
                  <c:v>Firmware / Software Updates</c:v>
                </c:pt>
              </c:strCache>
            </c:strRef>
          </c:cat>
          <c:val>
            <c:numRef>
              <c:f>'6. HNDL Threat Analysis'!$E$5:$E$14</c:f>
              <c:numCache>
                <c:formatCode>0</c:formatCode>
                <c:ptCount val="10"/>
                <c:pt idx="0">
                  <c:v>80</c:v>
                </c:pt>
                <c:pt idx="1">
                  <c:v>90</c:v>
                </c:pt>
                <c:pt idx="2">
                  <c:v>72</c:v>
                </c:pt>
                <c:pt idx="3">
                  <c:v>72</c:v>
                </c:pt>
                <c:pt idx="4">
                  <c:v>63</c:v>
                </c:pt>
                <c:pt idx="5">
                  <c:v>60</c:v>
                </c:pt>
                <c:pt idx="6">
                  <c:v>25</c:v>
                </c:pt>
                <c:pt idx="7">
                  <c:v>28</c:v>
                </c:pt>
                <c:pt idx="8">
                  <c:v>80</c:v>
                </c:pt>
                <c:pt idx="9">
                  <c:v>72</c:v>
                </c:pt>
              </c:numCache>
            </c:numRef>
          </c:val>
          <c:extLst>
            <c:ext xmlns:c16="http://schemas.microsoft.com/office/drawing/2014/chart" uri="{C3380CC4-5D6E-409C-BE32-E72D297353CC}">
              <c16:uniqueId val="{00000000-9941-4720-B4A4-80C5F781E9F6}"/>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IN"/>
                  <a:t>Data Type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IN"/>
                  <a:t>HNDL Risk Score (max 100)</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0</xdr:colOff>
      <xdr:row>15</xdr:row>
      <xdr:rowOff>0</xdr:rowOff>
    </xdr:from>
    <xdr:ext cx="8640000" cy="504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15</xdr:row>
      <xdr:rowOff>0</xdr:rowOff>
    </xdr:from>
    <xdr:ext cx="5040000" cy="504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19</xdr:row>
      <xdr:rowOff>0</xdr:rowOff>
    </xdr:from>
    <xdr:ext cx="9360000" cy="50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35</xdr:row>
      <xdr:rowOff>0</xdr:rowOff>
    </xdr:from>
    <xdr:ext cx="9360000" cy="468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15</xdr:row>
      <xdr:rowOff>0</xdr:rowOff>
    </xdr:from>
    <xdr:ext cx="9360000" cy="504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15</xdr:row>
      <xdr:rowOff>0</xdr:rowOff>
    </xdr:from>
    <xdr:ext cx="7920000" cy="46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11</xdr:col>
      <xdr:colOff>0</xdr:colOff>
      <xdr:row>15</xdr:row>
      <xdr:rowOff>0</xdr:rowOff>
    </xdr:from>
    <xdr:ext cx="7920000" cy="4680000"/>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11</xdr:row>
      <xdr:rowOff>0</xdr:rowOff>
    </xdr:from>
    <xdr:ext cx="8640000" cy="468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15</xdr:row>
      <xdr:rowOff>0</xdr:rowOff>
    </xdr:from>
    <xdr:ext cx="9360000" cy="50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8" Type="http://schemas.openxmlformats.org/officeDocument/2006/relationships/hyperlink" Target="https://csrc.nist.gov/projects/post-quantum-cryptography" TargetMode="External"/><Relationship Id="rId13" Type="http://schemas.openxmlformats.org/officeDocument/2006/relationships/hyperlink" Target="https://www.nccoe.nist.gov/applied-cryptography/migration-to-pqc" TargetMode="External"/><Relationship Id="rId18" Type="http://schemas.openxmlformats.org/officeDocument/2006/relationships/hyperlink" Target="https://www.imo.org/en/OurWork/Security/Pages/Cybersecurity.aspx" TargetMode="External"/><Relationship Id="rId3" Type="http://schemas.openxmlformats.org/officeDocument/2006/relationships/hyperlink" Target="https://globalfishingwatch.org/datasets-and-code-vessel-identity/" TargetMode="External"/><Relationship Id="rId7" Type="http://schemas.openxmlformats.org/officeDocument/2006/relationships/hyperlink" Target="https://nvlpubs.nist.gov/nistpubs/ir/2024/NIST.IR.8547.ipd.pdf" TargetMode="External"/><Relationship Id="rId12" Type="http://schemas.openxmlformats.org/officeDocument/2006/relationships/hyperlink" Target="https://bidenwhitehouse.archives.gov/wp-content/uploads/2024/07/REF_PQC-Report_FINAL_Send.pdf" TargetMode="External"/><Relationship Id="rId17" Type="http://schemas.openxmlformats.org/officeDocument/2006/relationships/hyperlink" Target="https://ieee-dataport.org/open-access/vessel-tracking-ais-vessel-metadata-and-dirway-datasets" TargetMode="External"/><Relationship Id="rId2" Type="http://schemas.openxmlformats.org/officeDocument/2006/relationships/hyperlink" Target="https://www.oecd.org/en/data/dashboards/monitoring-maritime-trade-the-oecd-ais-vessel-tracking-dashboard.html" TargetMode="External"/><Relationship Id="rId16" Type="http://schemas.openxmlformats.org/officeDocument/2006/relationships/hyperlink" Target="https://industrialcyber.co/transport/us-coast-guards-2024-ctime-report-reveals-growing-cyber-risks-in-maritime-operations/" TargetMode="External"/><Relationship Id="rId1" Type="http://schemas.openxmlformats.org/officeDocument/2006/relationships/hyperlink" Target="https://www.bimco.org/shipping-explained/shipping-and-sustainability" TargetMode="External"/><Relationship Id="rId6" Type="http://schemas.openxmlformats.org/officeDocument/2006/relationships/hyperlink" Target="https://ww2.eagle.org/en/rules-and-resources/regulatory-updates/Maritime-Cybersecurity.html" TargetMode="External"/><Relationship Id="rId11" Type="http://schemas.openxmlformats.org/officeDocument/2006/relationships/hyperlink" Target="https://www.kaggle.com/datasets/eminserkanerdonmez/ais-dataset" TargetMode="External"/><Relationship Id="rId5" Type="http://schemas.openxmlformats.org/officeDocument/2006/relationships/hyperlink" Target="https://arxiv.org/html/2409.11417" TargetMode="External"/><Relationship Id="rId15" Type="http://schemas.openxmlformats.org/officeDocument/2006/relationships/hyperlink" Target="https://maritimecybersecurity.nl/" TargetMode="External"/><Relationship Id="rId10" Type="http://schemas.openxmlformats.org/officeDocument/2006/relationships/hyperlink" Target="https://csrc.nist.gov/pubs/fips/204/final" TargetMode="External"/><Relationship Id="rId19" Type="http://schemas.openxmlformats.org/officeDocument/2006/relationships/hyperlink" Target="https://www.imo.org/en/OurWork/Security/Pages/Cybersecurity.aspx" TargetMode="External"/><Relationship Id="rId4" Type="http://schemas.openxmlformats.org/officeDocument/2006/relationships/hyperlink" Target="https://maritimecybersecurity.nl/" TargetMode="External"/><Relationship Id="rId9" Type="http://schemas.openxmlformats.org/officeDocument/2006/relationships/hyperlink" Target="https://csrc.nist.gov/pubs/fips/203/final" TargetMode="External"/><Relationship Id="rId14" Type="http://schemas.openxmlformats.org/officeDocument/2006/relationships/hyperlink" Target="https://www.g7italy.it/wp-content/uploads/G7-Cyber-Expert-Group_Quantum-Roadmap.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showGridLines="0" workbookViewId="0">
      <selection activeCell="J14" sqref="J14"/>
    </sheetView>
  </sheetViews>
  <sheetFormatPr defaultRowHeight="14.5" x14ac:dyDescent="0.35"/>
  <cols>
    <col min="1" max="1" width="5" customWidth="1"/>
    <col min="2" max="2" width="23.7265625" customWidth="1"/>
    <col min="3" max="3" width="21.6328125" customWidth="1"/>
    <col min="4" max="4" width="19.6328125" customWidth="1"/>
    <col min="5" max="5" width="20.81640625" customWidth="1"/>
    <col min="6" max="6" width="18" customWidth="1"/>
    <col min="7" max="7" width="19.08984375" customWidth="1"/>
    <col min="8" max="8" width="20.90625" customWidth="1"/>
    <col min="9" max="9" width="18.453125" customWidth="1"/>
    <col min="10" max="10" width="22.26953125" customWidth="1"/>
  </cols>
  <sheetData>
    <row r="1" spans="1:10" ht="38" customHeight="1" x14ac:dyDescent="0.35">
      <c r="A1" s="81" t="s">
        <v>0</v>
      </c>
      <c r="B1" s="82"/>
      <c r="C1" s="82"/>
      <c r="D1" s="82"/>
      <c r="E1" s="82"/>
      <c r="F1" s="82"/>
      <c r="G1" s="82"/>
      <c r="H1" s="82"/>
      <c r="I1" s="82"/>
      <c r="J1" s="82"/>
    </row>
    <row r="3" spans="1:10" ht="28" customHeight="1" x14ac:dyDescent="0.35">
      <c r="B3" s="102" t="s">
        <v>1</v>
      </c>
      <c r="C3" s="97" t="s">
        <v>2</v>
      </c>
      <c r="D3" s="97" t="s">
        <v>3</v>
      </c>
      <c r="E3" s="101" t="s">
        <v>4</v>
      </c>
      <c r="F3" s="85" t="s">
        <v>5</v>
      </c>
      <c r="G3" s="85" t="s">
        <v>6</v>
      </c>
      <c r="H3" s="99" t="s">
        <v>7</v>
      </c>
      <c r="I3" s="88" t="s">
        <v>8</v>
      </c>
    </row>
    <row r="4" spans="1:10" ht="32" customHeight="1" x14ac:dyDescent="0.35">
      <c r="B4" s="92" t="s">
        <v>9</v>
      </c>
      <c r="C4" s="83" t="s">
        <v>10</v>
      </c>
      <c r="D4" s="83" t="s">
        <v>11</v>
      </c>
      <c r="E4" s="84" t="s">
        <v>12</v>
      </c>
      <c r="F4" s="93" t="s">
        <v>13</v>
      </c>
      <c r="G4" s="93" t="s">
        <v>14</v>
      </c>
      <c r="H4" s="94" t="s">
        <v>15</v>
      </c>
      <c r="I4" s="98" t="s">
        <v>16</v>
      </c>
    </row>
    <row r="5" spans="1:10" ht="6" customHeight="1" x14ac:dyDescent="0.35">
      <c r="B5" s="100"/>
      <c r="C5" s="90"/>
      <c r="D5" s="90"/>
      <c r="E5" s="95"/>
      <c r="F5" s="87"/>
      <c r="G5" s="87"/>
      <c r="H5" s="91"/>
      <c r="I5" s="96"/>
    </row>
    <row r="7" spans="1:10" ht="26" customHeight="1" x14ac:dyDescent="0.35">
      <c r="A7" s="86" t="s">
        <v>17</v>
      </c>
      <c r="B7" s="82"/>
      <c r="C7" s="82"/>
      <c r="D7" s="82"/>
      <c r="E7" s="82"/>
      <c r="F7" s="82"/>
      <c r="G7" s="82"/>
      <c r="H7" s="82"/>
      <c r="I7" s="82"/>
      <c r="J7" s="82"/>
    </row>
    <row r="8" spans="1:10" ht="22" customHeight="1" x14ac:dyDescent="0.35">
      <c r="A8" s="89" t="s">
        <v>18</v>
      </c>
      <c r="B8" s="82"/>
      <c r="C8" s="82"/>
      <c r="D8" s="82"/>
      <c r="E8" s="82"/>
      <c r="F8" s="82"/>
      <c r="G8" s="82"/>
      <c r="H8" s="82"/>
      <c r="I8" s="82"/>
      <c r="J8" s="82"/>
    </row>
    <row r="9" spans="1:10" ht="22" customHeight="1" x14ac:dyDescent="0.35">
      <c r="A9" s="89" t="s">
        <v>19</v>
      </c>
      <c r="B9" s="82"/>
      <c r="C9" s="82"/>
      <c r="D9" s="82"/>
      <c r="E9" s="82"/>
      <c r="F9" s="82"/>
      <c r="G9" s="82"/>
      <c r="H9" s="82"/>
      <c r="I9" s="82"/>
      <c r="J9" s="82"/>
    </row>
    <row r="10" spans="1:10" ht="22" customHeight="1" x14ac:dyDescent="0.35">
      <c r="A10" s="89" t="s">
        <v>20</v>
      </c>
      <c r="B10" s="82"/>
      <c r="C10" s="82"/>
      <c r="D10" s="82"/>
      <c r="E10" s="82"/>
      <c r="F10" s="82"/>
      <c r="G10" s="82"/>
      <c r="H10" s="82"/>
      <c r="I10" s="82"/>
      <c r="J10" s="82"/>
    </row>
    <row r="11" spans="1:10" ht="22" customHeight="1" x14ac:dyDescent="0.35">
      <c r="A11" s="89" t="s">
        <v>21</v>
      </c>
      <c r="B11" s="82"/>
      <c r="C11" s="82"/>
      <c r="D11" s="82"/>
      <c r="E11" s="82"/>
      <c r="F11" s="82"/>
      <c r="G11" s="82"/>
      <c r="H11" s="82"/>
      <c r="I11" s="82"/>
      <c r="J11" s="82"/>
    </row>
    <row r="12" spans="1:10" ht="22" customHeight="1" x14ac:dyDescent="0.35">
      <c r="A12" s="89" t="s">
        <v>22</v>
      </c>
      <c r="B12" s="82"/>
      <c r="C12" s="82"/>
      <c r="D12" s="82"/>
      <c r="E12" s="82"/>
      <c r="F12" s="82"/>
      <c r="G12" s="82"/>
      <c r="H12" s="82"/>
      <c r="I12" s="82"/>
      <c r="J12" s="82"/>
    </row>
    <row r="13" spans="1:10" ht="22" customHeight="1" x14ac:dyDescent="0.35">
      <c r="A13" s="89" t="s">
        <v>23</v>
      </c>
      <c r="B13" s="82"/>
      <c r="C13" s="82"/>
      <c r="D13" s="82"/>
      <c r="E13" s="82"/>
      <c r="F13" s="82"/>
      <c r="G13" s="82"/>
      <c r="H13" s="82"/>
      <c r="I13" s="82"/>
      <c r="J13" s="82"/>
    </row>
  </sheetData>
  <mergeCells count="32">
    <mergeCell ref="A10:J10"/>
    <mergeCell ref="D5"/>
    <mergeCell ref="A13:J13"/>
    <mergeCell ref="H5"/>
    <mergeCell ref="B4"/>
    <mergeCell ref="F4"/>
    <mergeCell ref="A9:J9"/>
    <mergeCell ref="C5"/>
    <mergeCell ref="H4"/>
    <mergeCell ref="E5"/>
    <mergeCell ref="A11:J11"/>
    <mergeCell ref="A12:J12"/>
    <mergeCell ref="I5"/>
    <mergeCell ref="D4"/>
    <mergeCell ref="A8:J8"/>
    <mergeCell ref="G4"/>
    <mergeCell ref="A1:J1"/>
    <mergeCell ref="C4"/>
    <mergeCell ref="E4"/>
    <mergeCell ref="F3"/>
    <mergeCell ref="A7:J7"/>
    <mergeCell ref="F5"/>
    <mergeCell ref="G3"/>
    <mergeCell ref="I3"/>
    <mergeCell ref="G5"/>
    <mergeCell ref="D3"/>
    <mergeCell ref="I4"/>
    <mergeCell ref="H3"/>
    <mergeCell ref="B5"/>
    <mergeCell ref="C3"/>
    <mergeCell ref="E3"/>
    <mergeCell ref="B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4"/>
  <sheetViews>
    <sheetView showGridLines="0" workbookViewId="0">
      <selection sqref="A1:H1"/>
    </sheetView>
  </sheetViews>
  <sheetFormatPr defaultRowHeight="14.5" x14ac:dyDescent="0.35"/>
  <cols>
    <col min="1" max="1" width="26" customWidth="1"/>
    <col min="2" max="3" width="14" customWidth="1"/>
    <col min="4" max="4" width="12" customWidth="1"/>
    <col min="5" max="5" width="14" customWidth="1"/>
    <col min="6" max="6" width="18" customWidth="1"/>
    <col min="7" max="7" width="20" customWidth="1"/>
    <col min="8" max="8" width="22" customWidth="1"/>
  </cols>
  <sheetData>
    <row r="1" spans="1:8" ht="32" customHeight="1" x14ac:dyDescent="0.35">
      <c r="A1" s="104" t="s">
        <v>24</v>
      </c>
      <c r="B1" s="82"/>
      <c r="C1" s="82"/>
      <c r="D1" s="82"/>
      <c r="E1" s="82"/>
      <c r="F1" s="82"/>
      <c r="G1" s="82"/>
      <c r="H1" s="82"/>
    </row>
    <row r="2" spans="1:8" ht="16" customHeight="1" x14ac:dyDescent="0.35">
      <c r="A2" s="103" t="s">
        <v>25</v>
      </c>
      <c r="B2" s="82"/>
      <c r="C2" s="82"/>
      <c r="D2" s="82"/>
      <c r="E2" s="82"/>
      <c r="F2" s="82"/>
      <c r="G2" s="82"/>
      <c r="H2" s="82"/>
    </row>
    <row r="4" spans="1:8" ht="36" customHeight="1" x14ac:dyDescent="0.35">
      <c r="A4" s="1" t="s">
        <v>26</v>
      </c>
      <c r="B4" s="1" t="s">
        <v>27</v>
      </c>
      <c r="C4" s="1" t="s">
        <v>28</v>
      </c>
      <c r="D4" s="1" t="s">
        <v>29</v>
      </c>
      <c r="E4" s="1" t="s">
        <v>30</v>
      </c>
      <c r="F4" s="1" t="s">
        <v>31</v>
      </c>
      <c r="G4" s="1" t="s">
        <v>32</v>
      </c>
      <c r="H4" s="1" t="s">
        <v>33</v>
      </c>
    </row>
    <row r="5" spans="1:8" x14ac:dyDescent="0.35">
      <c r="A5" s="2" t="s">
        <v>34</v>
      </c>
      <c r="B5" s="3">
        <v>28000</v>
      </c>
      <c r="C5" s="3">
        <v>9800</v>
      </c>
      <c r="D5" s="3">
        <v>3360</v>
      </c>
      <c r="E5" s="3">
        <v>5040</v>
      </c>
      <c r="F5" s="3">
        <v>7560</v>
      </c>
      <c r="G5" s="3">
        <v>840</v>
      </c>
      <c r="H5" s="3">
        <v>2400</v>
      </c>
    </row>
    <row r="6" spans="1:8" x14ac:dyDescent="0.35">
      <c r="A6" s="4" t="s">
        <v>35</v>
      </c>
      <c r="B6" s="5">
        <v>12000</v>
      </c>
      <c r="C6" s="5">
        <v>4200</v>
      </c>
      <c r="D6" s="5">
        <v>1440</v>
      </c>
      <c r="E6" s="5">
        <v>2160</v>
      </c>
      <c r="F6" s="5">
        <v>2400</v>
      </c>
      <c r="G6" s="5">
        <v>600</v>
      </c>
      <c r="H6" s="5">
        <v>1200</v>
      </c>
    </row>
    <row r="7" spans="1:8" x14ac:dyDescent="0.35">
      <c r="A7" s="2" t="s">
        <v>36</v>
      </c>
      <c r="B7" s="3">
        <v>16000</v>
      </c>
      <c r="C7" s="3">
        <v>5600</v>
      </c>
      <c r="D7" s="3">
        <v>1920</v>
      </c>
      <c r="E7" s="3">
        <v>2880</v>
      </c>
      <c r="F7" s="3">
        <v>3840</v>
      </c>
      <c r="G7" s="3">
        <v>480</v>
      </c>
      <c r="H7" s="3">
        <v>1280</v>
      </c>
    </row>
    <row r="8" spans="1:8" x14ac:dyDescent="0.35">
      <c r="A8" s="4" t="s">
        <v>37</v>
      </c>
      <c r="B8" s="5">
        <v>7000</v>
      </c>
      <c r="C8" s="5">
        <v>1960</v>
      </c>
      <c r="D8" s="5">
        <v>840</v>
      </c>
      <c r="E8" s="5">
        <v>1260</v>
      </c>
      <c r="F8" s="5">
        <v>1820</v>
      </c>
      <c r="G8" s="5">
        <v>700</v>
      </c>
      <c r="H8" s="5">
        <v>420</v>
      </c>
    </row>
    <row r="9" spans="1:8" x14ac:dyDescent="0.35">
      <c r="A9" s="2" t="s">
        <v>38</v>
      </c>
      <c r="B9" s="3">
        <v>4000</v>
      </c>
      <c r="C9" s="3">
        <v>400</v>
      </c>
      <c r="D9" s="3">
        <v>480</v>
      </c>
      <c r="E9" s="3">
        <v>800</v>
      </c>
      <c r="F9" s="3">
        <v>1280</v>
      </c>
      <c r="G9" s="3">
        <v>840</v>
      </c>
      <c r="H9" s="3">
        <v>200</v>
      </c>
    </row>
    <row r="10" spans="1:8" x14ac:dyDescent="0.35">
      <c r="A10" s="4" t="s">
        <v>39</v>
      </c>
      <c r="B10" s="5">
        <v>15000</v>
      </c>
      <c r="C10" s="5">
        <v>300</v>
      </c>
      <c r="D10" s="5">
        <v>150</v>
      </c>
      <c r="E10" s="5">
        <v>750</v>
      </c>
      <c r="F10" s="5">
        <v>450</v>
      </c>
      <c r="G10" s="5">
        <v>75</v>
      </c>
      <c r="H10" s="5">
        <v>13275</v>
      </c>
    </row>
    <row r="11" spans="1:8" x14ac:dyDescent="0.35">
      <c r="A11" s="2" t="s">
        <v>40</v>
      </c>
      <c r="B11" s="3">
        <v>5000</v>
      </c>
      <c r="C11" s="3">
        <v>1750</v>
      </c>
      <c r="D11" s="3">
        <v>600</v>
      </c>
      <c r="E11" s="3">
        <v>1000</v>
      </c>
      <c r="F11" s="3">
        <v>900</v>
      </c>
      <c r="G11" s="3">
        <v>250</v>
      </c>
      <c r="H11" s="3">
        <v>500</v>
      </c>
    </row>
    <row r="12" spans="1:8" x14ac:dyDescent="0.35">
      <c r="A12" s="4" t="s">
        <v>41</v>
      </c>
      <c r="B12" s="5">
        <v>3000</v>
      </c>
      <c r="C12" s="5">
        <v>600</v>
      </c>
      <c r="D12" s="5">
        <v>360</v>
      </c>
      <c r="E12" s="5">
        <v>540</v>
      </c>
      <c r="F12" s="5">
        <v>900</v>
      </c>
      <c r="G12" s="5">
        <v>300</v>
      </c>
      <c r="H12" s="5">
        <v>300</v>
      </c>
    </row>
    <row r="13" spans="1:8" x14ac:dyDescent="0.35">
      <c r="A13" s="6" t="s">
        <v>42</v>
      </c>
      <c r="B13" s="7">
        <f t="shared" ref="B13:H13" si="0">SUM(B5:B12)</f>
        <v>90000</v>
      </c>
      <c r="C13" s="7">
        <f t="shared" si="0"/>
        <v>24610</v>
      </c>
      <c r="D13" s="7">
        <f t="shared" si="0"/>
        <v>9150</v>
      </c>
      <c r="E13" s="7">
        <f t="shared" si="0"/>
        <v>14430</v>
      </c>
      <c r="F13" s="7">
        <f t="shared" si="0"/>
        <v>19150</v>
      </c>
      <c r="G13" s="7">
        <f t="shared" si="0"/>
        <v>4085</v>
      </c>
      <c r="H13" s="7">
        <f t="shared" si="0"/>
        <v>19575</v>
      </c>
    </row>
    <row r="14" spans="1:8" x14ac:dyDescent="0.35">
      <c r="A14" s="8" t="s">
        <v>43</v>
      </c>
      <c r="B14" s="9">
        <f>B13/B13</f>
        <v>1</v>
      </c>
      <c r="C14" s="9">
        <f>C13/B13</f>
        <v>0.27344444444444443</v>
      </c>
      <c r="D14" s="9">
        <f>D13/B13</f>
        <v>0.10166666666666667</v>
      </c>
      <c r="E14" s="9">
        <f>E13/B13</f>
        <v>0.16033333333333333</v>
      </c>
      <c r="F14" s="9">
        <f>F13/B13</f>
        <v>0.21277777777777779</v>
      </c>
      <c r="G14" s="9">
        <f>G13/B13</f>
        <v>4.5388888888888888E-2</v>
      </c>
      <c r="H14" s="9">
        <f>H13/B13</f>
        <v>0.2175</v>
      </c>
    </row>
  </sheetData>
  <mergeCells count="2">
    <mergeCell ref="A2:H2"/>
    <mergeCell ref="A1:H1"/>
  </mergeCell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8"/>
  <sheetViews>
    <sheetView showGridLines="0" workbookViewId="0">
      <selection sqref="A1:I1"/>
    </sheetView>
  </sheetViews>
  <sheetFormatPr defaultRowHeight="14.5" x14ac:dyDescent="0.35"/>
  <cols>
    <col min="1" max="1" width="26" customWidth="1"/>
    <col min="2" max="2" width="20" customWidth="1"/>
    <col min="3" max="3" width="16" customWidth="1"/>
    <col min="4" max="4" width="18" customWidth="1"/>
    <col min="5" max="5" width="16" customWidth="1"/>
    <col min="6" max="6" width="14" customWidth="1"/>
    <col min="7" max="7" width="13" customWidth="1"/>
    <col min="8" max="8" width="18" customWidth="1"/>
    <col min="9" max="9" width="14" customWidth="1"/>
  </cols>
  <sheetData>
    <row r="1" spans="1:9" ht="32" customHeight="1" x14ac:dyDescent="0.35">
      <c r="A1" s="105" t="s">
        <v>44</v>
      </c>
      <c r="B1" s="82"/>
      <c r="C1" s="82"/>
      <c r="D1" s="82"/>
      <c r="E1" s="82"/>
      <c r="F1" s="82"/>
      <c r="G1" s="82"/>
      <c r="H1" s="82"/>
      <c r="I1" s="82"/>
    </row>
    <row r="2" spans="1:9" x14ac:dyDescent="0.35">
      <c r="A2" s="103" t="s">
        <v>45</v>
      </c>
      <c r="B2" s="82"/>
      <c r="C2" s="82"/>
      <c r="D2" s="82"/>
      <c r="E2" s="82"/>
      <c r="F2" s="82"/>
      <c r="G2" s="82"/>
      <c r="H2" s="82"/>
      <c r="I2" s="82"/>
    </row>
    <row r="4" spans="1:9" ht="40" customHeight="1" x14ac:dyDescent="0.35">
      <c r="A4" s="10" t="s">
        <v>46</v>
      </c>
      <c r="B4" s="10" t="s">
        <v>47</v>
      </c>
      <c r="C4" s="10" t="s">
        <v>48</v>
      </c>
      <c r="D4" s="10" t="s">
        <v>49</v>
      </c>
      <c r="E4" s="10" t="s">
        <v>50</v>
      </c>
      <c r="F4" s="10" t="s">
        <v>51</v>
      </c>
      <c r="G4" s="10" t="s">
        <v>52</v>
      </c>
      <c r="H4" s="10" t="s">
        <v>53</v>
      </c>
      <c r="I4" s="10" t="s">
        <v>54</v>
      </c>
    </row>
    <row r="5" spans="1:9" x14ac:dyDescent="0.35">
      <c r="A5" s="11" t="s">
        <v>55</v>
      </c>
      <c r="B5" s="12" t="s">
        <v>56</v>
      </c>
      <c r="C5" s="13" t="s">
        <v>57</v>
      </c>
      <c r="D5" s="14" t="s">
        <v>58</v>
      </c>
      <c r="E5" s="15">
        <v>9</v>
      </c>
      <c r="F5" s="15">
        <v>9</v>
      </c>
      <c r="G5" s="16">
        <f t="shared" ref="G5:G18" si="0">E5*F5</f>
        <v>81</v>
      </c>
      <c r="H5" s="15">
        <v>2</v>
      </c>
      <c r="I5" s="13" t="s">
        <v>59</v>
      </c>
    </row>
    <row r="6" spans="1:9" x14ac:dyDescent="0.35">
      <c r="A6" s="11" t="s">
        <v>60</v>
      </c>
      <c r="B6" s="12" t="s">
        <v>61</v>
      </c>
      <c r="C6" s="13" t="s">
        <v>57</v>
      </c>
      <c r="D6" s="14" t="s">
        <v>58</v>
      </c>
      <c r="E6" s="15">
        <v>8</v>
      </c>
      <c r="F6" s="15">
        <v>10</v>
      </c>
      <c r="G6" s="16">
        <f t="shared" si="0"/>
        <v>80</v>
      </c>
      <c r="H6" s="15">
        <v>2</v>
      </c>
      <c r="I6" s="13" t="s">
        <v>59</v>
      </c>
    </row>
    <row r="7" spans="1:9" x14ac:dyDescent="0.35">
      <c r="A7" s="11" t="s">
        <v>62</v>
      </c>
      <c r="B7" s="12" t="s">
        <v>63</v>
      </c>
      <c r="C7" s="13" t="s">
        <v>57</v>
      </c>
      <c r="D7" s="14" t="s">
        <v>58</v>
      </c>
      <c r="E7" s="15">
        <v>9</v>
      </c>
      <c r="F7" s="15">
        <v>8</v>
      </c>
      <c r="G7" s="16">
        <f t="shared" si="0"/>
        <v>72</v>
      </c>
      <c r="H7" s="15">
        <v>3</v>
      </c>
      <c r="I7" s="13" t="s">
        <v>59</v>
      </c>
    </row>
    <row r="8" spans="1:9" x14ac:dyDescent="0.35">
      <c r="A8" s="11" t="s">
        <v>64</v>
      </c>
      <c r="B8" s="12" t="s">
        <v>65</v>
      </c>
      <c r="C8" s="13" t="s">
        <v>57</v>
      </c>
      <c r="D8" s="14" t="s">
        <v>58</v>
      </c>
      <c r="E8" s="15">
        <v>7</v>
      </c>
      <c r="F8" s="15">
        <v>10</v>
      </c>
      <c r="G8" s="16">
        <f t="shared" si="0"/>
        <v>70</v>
      </c>
      <c r="H8" s="15">
        <v>2</v>
      </c>
      <c r="I8" s="13" t="s">
        <v>59</v>
      </c>
    </row>
    <row r="9" spans="1:9" x14ac:dyDescent="0.35">
      <c r="A9" s="11" t="s">
        <v>66</v>
      </c>
      <c r="B9" s="12" t="s">
        <v>67</v>
      </c>
      <c r="C9" s="13" t="s">
        <v>57</v>
      </c>
      <c r="D9" s="13" t="s">
        <v>57</v>
      </c>
      <c r="E9" s="15">
        <v>9</v>
      </c>
      <c r="F9" s="15">
        <v>9</v>
      </c>
      <c r="G9" s="16">
        <f t="shared" si="0"/>
        <v>81</v>
      </c>
      <c r="H9" s="15">
        <v>1</v>
      </c>
      <c r="I9" s="13" t="s">
        <v>59</v>
      </c>
    </row>
    <row r="10" spans="1:9" x14ac:dyDescent="0.35">
      <c r="A10" s="17" t="s">
        <v>68</v>
      </c>
      <c r="B10" s="18" t="s">
        <v>63</v>
      </c>
      <c r="C10" s="13" t="s">
        <v>57</v>
      </c>
      <c r="D10" s="14" t="s">
        <v>58</v>
      </c>
      <c r="E10" s="19">
        <v>7</v>
      </c>
      <c r="F10" s="19">
        <v>8</v>
      </c>
      <c r="G10" s="20">
        <f t="shared" si="0"/>
        <v>56</v>
      </c>
      <c r="H10" s="19">
        <v>3</v>
      </c>
      <c r="I10" s="14" t="s">
        <v>69</v>
      </c>
    </row>
    <row r="11" spans="1:9" x14ac:dyDescent="0.35">
      <c r="A11" s="17" t="s">
        <v>70</v>
      </c>
      <c r="B11" s="18" t="s">
        <v>71</v>
      </c>
      <c r="C11" s="13" t="s">
        <v>57</v>
      </c>
      <c r="D11" s="14" t="s">
        <v>58</v>
      </c>
      <c r="E11" s="19">
        <v>8</v>
      </c>
      <c r="F11" s="19">
        <v>6</v>
      </c>
      <c r="G11" s="20">
        <f t="shared" si="0"/>
        <v>48</v>
      </c>
      <c r="H11" s="19">
        <v>4</v>
      </c>
      <c r="I11" s="14" t="s">
        <v>69</v>
      </c>
    </row>
    <row r="12" spans="1:9" x14ac:dyDescent="0.35">
      <c r="A12" s="17" t="s">
        <v>72</v>
      </c>
      <c r="B12" s="18" t="s">
        <v>73</v>
      </c>
      <c r="C12" s="21" t="s">
        <v>74</v>
      </c>
      <c r="D12" s="13" t="s">
        <v>57</v>
      </c>
      <c r="E12" s="19">
        <v>6</v>
      </c>
      <c r="F12" s="19">
        <v>7</v>
      </c>
      <c r="G12" s="20">
        <f t="shared" si="0"/>
        <v>42</v>
      </c>
      <c r="H12" s="19">
        <v>5</v>
      </c>
      <c r="I12" s="14" t="s">
        <v>69</v>
      </c>
    </row>
    <row r="13" spans="1:9" x14ac:dyDescent="0.35">
      <c r="A13" s="22" t="s">
        <v>75</v>
      </c>
      <c r="B13" s="23" t="s">
        <v>76</v>
      </c>
      <c r="C13" s="21" t="s">
        <v>74</v>
      </c>
      <c r="D13" s="13" t="s">
        <v>57</v>
      </c>
      <c r="E13" s="24">
        <v>5</v>
      </c>
      <c r="F13" s="24">
        <v>8</v>
      </c>
      <c r="G13" s="25">
        <f t="shared" si="0"/>
        <v>40</v>
      </c>
      <c r="H13" s="24">
        <v>6</v>
      </c>
      <c r="I13" s="26" t="s">
        <v>77</v>
      </c>
    </row>
    <row r="14" spans="1:9" x14ac:dyDescent="0.35">
      <c r="A14" s="17" t="s">
        <v>78</v>
      </c>
      <c r="B14" s="18" t="s">
        <v>79</v>
      </c>
      <c r="C14" s="13" t="s">
        <v>57</v>
      </c>
      <c r="D14" s="14" t="s">
        <v>58</v>
      </c>
      <c r="E14" s="19">
        <v>6</v>
      </c>
      <c r="F14" s="19">
        <v>7</v>
      </c>
      <c r="G14" s="20">
        <f t="shared" si="0"/>
        <v>42</v>
      </c>
      <c r="H14" s="19">
        <v>5</v>
      </c>
      <c r="I14" s="14" t="s">
        <v>69</v>
      </c>
    </row>
    <row r="15" spans="1:9" x14ac:dyDescent="0.35">
      <c r="A15" s="17" t="s">
        <v>80</v>
      </c>
      <c r="B15" s="18" t="s">
        <v>81</v>
      </c>
      <c r="C15" s="13" t="s">
        <v>57</v>
      </c>
      <c r="D15" s="14" t="s">
        <v>58</v>
      </c>
      <c r="E15" s="19">
        <v>7</v>
      </c>
      <c r="F15" s="19">
        <v>6</v>
      </c>
      <c r="G15" s="20">
        <f t="shared" si="0"/>
        <v>42</v>
      </c>
      <c r="H15" s="19">
        <v>4</v>
      </c>
      <c r="I15" s="14" t="s">
        <v>69</v>
      </c>
    </row>
    <row r="16" spans="1:9" x14ac:dyDescent="0.35">
      <c r="A16" s="22" t="s">
        <v>82</v>
      </c>
      <c r="B16" s="23" t="s">
        <v>63</v>
      </c>
      <c r="C16" s="13" t="s">
        <v>57</v>
      </c>
      <c r="D16" s="14" t="s">
        <v>58</v>
      </c>
      <c r="E16" s="24">
        <v>4</v>
      </c>
      <c r="F16" s="24">
        <v>5</v>
      </c>
      <c r="G16" s="25">
        <f t="shared" si="0"/>
        <v>20</v>
      </c>
      <c r="H16" s="24">
        <v>7</v>
      </c>
      <c r="I16" s="26" t="s">
        <v>77</v>
      </c>
    </row>
    <row r="17" spans="1:9" x14ac:dyDescent="0.35">
      <c r="A17" s="27" t="s">
        <v>83</v>
      </c>
      <c r="B17" s="28" t="s">
        <v>84</v>
      </c>
      <c r="C17" s="21" t="s">
        <v>74</v>
      </c>
      <c r="D17" s="21" t="s">
        <v>74</v>
      </c>
      <c r="E17" s="29">
        <v>1</v>
      </c>
      <c r="F17" s="29">
        <v>2</v>
      </c>
      <c r="G17" s="30">
        <f t="shared" si="0"/>
        <v>2</v>
      </c>
      <c r="H17" s="29">
        <v>9</v>
      </c>
      <c r="I17" s="21" t="s">
        <v>85</v>
      </c>
    </row>
    <row r="18" spans="1:9" x14ac:dyDescent="0.35">
      <c r="A18" s="17" t="s">
        <v>86</v>
      </c>
      <c r="B18" s="18" t="s">
        <v>87</v>
      </c>
      <c r="C18" s="21" t="s">
        <v>74</v>
      </c>
      <c r="D18" s="13" t="s">
        <v>57</v>
      </c>
      <c r="E18" s="19">
        <v>6</v>
      </c>
      <c r="F18" s="19">
        <v>9</v>
      </c>
      <c r="G18" s="20">
        <f t="shared" si="0"/>
        <v>54</v>
      </c>
      <c r="H18" s="19">
        <v>5</v>
      </c>
      <c r="I18" s="14" t="s">
        <v>69</v>
      </c>
    </row>
  </sheetData>
  <mergeCells count="2">
    <mergeCell ref="A1:I1"/>
    <mergeCell ref="A2:I2"/>
  </mergeCell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4"/>
  <sheetViews>
    <sheetView showGridLines="0" workbookViewId="0">
      <selection sqref="A1:G1"/>
    </sheetView>
  </sheetViews>
  <sheetFormatPr defaultRowHeight="14.5" x14ac:dyDescent="0.35"/>
  <cols>
    <col min="1" max="1" width="10" customWidth="1"/>
    <col min="2" max="2" width="16" customWidth="1"/>
    <col min="3" max="3" width="22" customWidth="1"/>
    <col min="4" max="4" width="20" customWidth="1"/>
    <col min="5" max="5" width="26" customWidth="1"/>
    <col min="6" max="6" width="24" customWidth="1"/>
    <col min="7" max="7" width="30" customWidth="1"/>
  </cols>
  <sheetData>
    <row r="1" spans="1:10" ht="32" customHeight="1" x14ac:dyDescent="0.35">
      <c r="A1" s="106" t="s">
        <v>88</v>
      </c>
      <c r="B1" s="82"/>
      <c r="C1" s="82"/>
      <c r="D1" s="82"/>
      <c r="E1" s="82"/>
      <c r="F1" s="82"/>
      <c r="G1" s="82"/>
    </row>
    <row r="2" spans="1:10" x14ac:dyDescent="0.35">
      <c r="A2" s="103" t="s">
        <v>89</v>
      </c>
      <c r="B2" s="82"/>
      <c r="C2" s="82"/>
      <c r="D2" s="82"/>
      <c r="E2" s="82"/>
      <c r="F2" s="82"/>
      <c r="G2" s="82"/>
    </row>
    <row r="4" spans="1:10" ht="40" customHeight="1" x14ac:dyDescent="0.35">
      <c r="A4" s="31" t="s">
        <v>90</v>
      </c>
      <c r="B4" s="31" t="s">
        <v>91</v>
      </c>
      <c r="C4" s="31" t="s">
        <v>92</v>
      </c>
      <c r="D4" s="31" t="s">
        <v>93</v>
      </c>
      <c r="E4" s="31" t="s">
        <v>94</v>
      </c>
      <c r="F4" s="31" t="s">
        <v>95</v>
      </c>
      <c r="G4" s="31" t="s">
        <v>96</v>
      </c>
      <c r="I4" s="32" t="s">
        <v>97</v>
      </c>
      <c r="J4" s="32" t="s">
        <v>98</v>
      </c>
    </row>
    <row r="5" spans="1:10" x14ac:dyDescent="0.35">
      <c r="A5" s="33" t="s">
        <v>99</v>
      </c>
      <c r="B5" s="34">
        <v>512</v>
      </c>
      <c r="C5" s="34">
        <v>256</v>
      </c>
      <c r="D5" s="34">
        <v>1024</v>
      </c>
      <c r="E5" s="34">
        <v>2000000</v>
      </c>
      <c r="F5" s="35">
        <v>2027</v>
      </c>
      <c r="G5" s="36" t="s">
        <v>100</v>
      </c>
      <c r="I5" t="s">
        <v>101</v>
      </c>
      <c r="J5">
        <v>2</v>
      </c>
    </row>
    <row r="6" spans="1:10" x14ac:dyDescent="0.35">
      <c r="A6" s="37" t="s">
        <v>99</v>
      </c>
      <c r="B6" s="38">
        <v>1024</v>
      </c>
      <c r="C6" s="38">
        <v>512</v>
      </c>
      <c r="D6" s="38">
        <v>2048</v>
      </c>
      <c r="E6" s="38">
        <v>4000000</v>
      </c>
      <c r="F6" s="35">
        <v>2028</v>
      </c>
      <c r="G6" s="39" t="s">
        <v>102</v>
      </c>
      <c r="I6" t="s">
        <v>67</v>
      </c>
      <c r="J6">
        <v>4</v>
      </c>
    </row>
    <row r="7" spans="1:10" x14ac:dyDescent="0.35">
      <c r="A7" s="33" t="s">
        <v>99</v>
      </c>
      <c r="B7" s="34">
        <v>2048</v>
      </c>
      <c r="C7" s="34">
        <v>1024</v>
      </c>
      <c r="D7" s="34">
        <v>4096</v>
      </c>
      <c r="E7" s="34">
        <v>8000000</v>
      </c>
      <c r="F7" s="40">
        <v>2030</v>
      </c>
      <c r="G7" s="36" t="s">
        <v>103</v>
      </c>
      <c r="I7" t="s">
        <v>63</v>
      </c>
      <c r="J7">
        <v>8</v>
      </c>
    </row>
    <row r="8" spans="1:10" x14ac:dyDescent="0.35">
      <c r="A8" s="37" t="s">
        <v>99</v>
      </c>
      <c r="B8" s="38">
        <v>4096</v>
      </c>
      <c r="C8" s="38">
        <v>2048</v>
      </c>
      <c r="D8" s="38">
        <v>8192</v>
      </c>
      <c r="E8" s="38">
        <v>16000000</v>
      </c>
      <c r="F8" s="41">
        <v>2033</v>
      </c>
      <c r="G8" s="39" t="s">
        <v>104</v>
      </c>
      <c r="I8" t="s">
        <v>105</v>
      </c>
      <c r="J8">
        <v>16</v>
      </c>
    </row>
    <row r="9" spans="1:10" x14ac:dyDescent="0.35">
      <c r="A9" s="33" t="s">
        <v>106</v>
      </c>
      <c r="B9" s="34">
        <v>160</v>
      </c>
      <c r="C9" s="34">
        <v>80</v>
      </c>
      <c r="D9" s="34">
        <v>360</v>
      </c>
      <c r="E9" s="34">
        <v>800000</v>
      </c>
      <c r="F9" s="35">
        <v>2026</v>
      </c>
      <c r="G9" s="36" t="s">
        <v>107</v>
      </c>
      <c r="I9" t="s">
        <v>108</v>
      </c>
      <c r="J9">
        <v>0.8</v>
      </c>
    </row>
    <row r="10" spans="1:10" x14ac:dyDescent="0.35">
      <c r="A10" s="37" t="s">
        <v>106</v>
      </c>
      <c r="B10" s="38">
        <v>256</v>
      </c>
      <c r="C10" s="38">
        <v>128</v>
      </c>
      <c r="D10" s="38">
        <v>512</v>
      </c>
      <c r="E10" s="38">
        <v>1200000</v>
      </c>
      <c r="F10" s="35">
        <v>2027</v>
      </c>
      <c r="G10" s="39" t="s">
        <v>109</v>
      </c>
      <c r="I10" t="s">
        <v>110</v>
      </c>
      <c r="J10">
        <v>1.2</v>
      </c>
    </row>
    <row r="11" spans="1:10" x14ac:dyDescent="0.35">
      <c r="A11" s="33" t="s">
        <v>106</v>
      </c>
      <c r="B11" s="34">
        <v>384</v>
      </c>
      <c r="C11" s="34">
        <v>192</v>
      </c>
      <c r="D11" s="34">
        <v>768</v>
      </c>
      <c r="E11" s="34">
        <v>1800000</v>
      </c>
      <c r="F11" s="35">
        <v>2028</v>
      </c>
      <c r="G11" s="36" t="s">
        <v>111</v>
      </c>
      <c r="I11" t="s">
        <v>112</v>
      </c>
      <c r="J11">
        <v>1.8</v>
      </c>
    </row>
    <row r="12" spans="1:10" x14ac:dyDescent="0.35">
      <c r="A12" s="37" t="s">
        <v>106</v>
      </c>
      <c r="B12" s="38">
        <v>521</v>
      </c>
      <c r="C12" s="38">
        <v>256</v>
      </c>
      <c r="D12" s="38">
        <v>1042</v>
      </c>
      <c r="E12" s="38">
        <v>2500000</v>
      </c>
      <c r="F12" s="40">
        <v>2029</v>
      </c>
      <c r="G12" s="39" t="s">
        <v>113</v>
      </c>
      <c r="I12" t="s">
        <v>114</v>
      </c>
      <c r="J12">
        <v>2.5</v>
      </c>
    </row>
    <row r="13" spans="1:10" x14ac:dyDescent="0.35">
      <c r="A13" s="33" t="s">
        <v>115</v>
      </c>
      <c r="B13" s="34">
        <v>2048</v>
      </c>
      <c r="C13" s="34">
        <v>1024</v>
      </c>
      <c r="D13" s="34">
        <v>4096</v>
      </c>
      <c r="E13" s="34">
        <v>8000000</v>
      </c>
      <c r="F13" s="40">
        <v>2030</v>
      </c>
      <c r="G13" s="36" t="s">
        <v>116</v>
      </c>
      <c r="I13" t="s">
        <v>117</v>
      </c>
      <c r="J13">
        <v>8</v>
      </c>
    </row>
    <row r="14" spans="1:10" x14ac:dyDescent="0.35">
      <c r="A14" s="37" t="s">
        <v>115</v>
      </c>
      <c r="B14" s="38">
        <v>4096</v>
      </c>
      <c r="C14" s="38">
        <v>2048</v>
      </c>
      <c r="D14" s="38">
        <v>8192</v>
      </c>
      <c r="E14" s="38">
        <v>16000000</v>
      </c>
      <c r="F14" s="41">
        <v>2033</v>
      </c>
      <c r="G14" s="39" t="s">
        <v>118</v>
      </c>
      <c r="I14" t="s">
        <v>119</v>
      </c>
      <c r="J14">
        <v>16</v>
      </c>
    </row>
  </sheetData>
  <mergeCells count="2">
    <mergeCell ref="A2:G2"/>
    <mergeCell ref="A1:G1"/>
  </mergeCells>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4"/>
  <sheetViews>
    <sheetView showGridLines="0" tabSelected="1" workbookViewId="0">
      <selection sqref="A1:F1"/>
    </sheetView>
  </sheetViews>
  <sheetFormatPr defaultRowHeight="14.5" x14ac:dyDescent="0.35"/>
  <cols>
    <col min="1" max="1" width="28" customWidth="1"/>
    <col min="2" max="2" width="18" customWidth="1"/>
    <col min="3" max="3" width="22" customWidth="1"/>
    <col min="4" max="4" width="26" customWidth="1"/>
    <col min="5" max="5" width="20" customWidth="1"/>
    <col min="6" max="6" width="30" customWidth="1"/>
  </cols>
  <sheetData>
    <row r="1" spans="1:6" ht="32" customHeight="1" x14ac:dyDescent="0.35">
      <c r="A1" s="109" t="s">
        <v>120</v>
      </c>
      <c r="B1" s="82"/>
      <c r="C1" s="82"/>
      <c r="D1" s="82"/>
      <c r="E1" s="82"/>
      <c r="F1" s="82"/>
    </row>
    <row r="2" spans="1:6" x14ac:dyDescent="0.35">
      <c r="A2" s="103" t="s">
        <v>121</v>
      </c>
      <c r="B2" s="82"/>
      <c r="C2" s="82"/>
      <c r="D2" s="82"/>
      <c r="E2" s="82"/>
      <c r="F2" s="82"/>
    </row>
    <row r="4" spans="1:6" ht="36" customHeight="1" x14ac:dyDescent="0.35">
      <c r="A4" s="42" t="s">
        <v>90</v>
      </c>
      <c r="B4" s="42" t="s">
        <v>122</v>
      </c>
      <c r="C4" s="42" t="s">
        <v>92</v>
      </c>
      <c r="D4" s="42" t="s">
        <v>123</v>
      </c>
      <c r="E4" s="42" t="s">
        <v>124</v>
      </c>
      <c r="F4" s="42" t="s">
        <v>125</v>
      </c>
    </row>
    <row r="5" spans="1:6" x14ac:dyDescent="0.35">
      <c r="A5" s="43" t="s">
        <v>126</v>
      </c>
      <c r="B5" s="44">
        <v>56</v>
      </c>
      <c r="C5" s="44">
        <v>56</v>
      </c>
      <c r="D5" s="45">
        <v>28</v>
      </c>
      <c r="E5" s="3">
        <v>1500</v>
      </c>
      <c r="F5" s="46" t="s">
        <v>127</v>
      </c>
    </row>
    <row r="6" spans="1:6" x14ac:dyDescent="0.35">
      <c r="A6" s="47" t="s">
        <v>128</v>
      </c>
      <c r="B6" s="48">
        <v>112</v>
      </c>
      <c r="C6" s="48">
        <v>112</v>
      </c>
      <c r="D6" s="45">
        <v>56</v>
      </c>
      <c r="E6" s="5">
        <v>4200</v>
      </c>
      <c r="F6" s="49" t="s">
        <v>129</v>
      </c>
    </row>
    <row r="7" spans="1:6" x14ac:dyDescent="0.35">
      <c r="A7" s="43" t="s">
        <v>87</v>
      </c>
      <c r="B7" s="44">
        <v>128</v>
      </c>
      <c r="C7" s="44">
        <v>128</v>
      </c>
      <c r="D7" s="45">
        <v>64</v>
      </c>
      <c r="E7" s="3">
        <v>28000</v>
      </c>
      <c r="F7" s="50" t="s">
        <v>130</v>
      </c>
    </row>
    <row r="8" spans="1:6" x14ac:dyDescent="0.35">
      <c r="A8" s="47" t="s">
        <v>131</v>
      </c>
      <c r="B8" s="48">
        <v>192</v>
      </c>
      <c r="C8" s="48">
        <v>192</v>
      </c>
      <c r="D8" s="51">
        <v>96</v>
      </c>
      <c r="E8" s="5">
        <v>8500</v>
      </c>
      <c r="F8" s="50" t="s">
        <v>132</v>
      </c>
    </row>
    <row r="9" spans="1:6" x14ac:dyDescent="0.35">
      <c r="A9" s="43" t="s">
        <v>76</v>
      </c>
      <c r="B9" s="44">
        <v>256</v>
      </c>
      <c r="C9" s="44">
        <v>256</v>
      </c>
      <c r="D9" s="52">
        <v>128</v>
      </c>
      <c r="E9" s="3">
        <v>22000</v>
      </c>
      <c r="F9" s="53" t="s">
        <v>133</v>
      </c>
    </row>
    <row r="10" spans="1:6" x14ac:dyDescent="0.35">
      <c r="A10" s="47" t="s">
        <v>134</v>
      </c>
      <c r="B10" s="48">
        <v>256</v>
      </c>
      <c r="C10" s="48">
        <v>256</v>
      </c>
      <c r="D10" s="52">
        <v>128</v>
      </c>
      <c r="E10" s="5">
        <v>6000</v>
      </c>
      <c r="F10" s="53" t="s">
        <v>133</v>
      </c>
    </row>
    <row r="11" spans="1:6" x14ac:dyDescent="0.35">
      <c r="A11" s="43" t="s">
        <v>135</v>
      </c>
      <c r="B11" s="44">
        <v>128</v>
      </c>
      <c r="C11" s="44">
        <v>256</v>
      </c>
      <c r="D11" s="52">
        <v>256</v>
      </c>
      <c r="E11" s="3">
        <v>1200</v>
      </c>
      <c r="F11" s="53" t="s">
        <v>136</v>
      </c>
    </row>
    <row r="12" spans="1:6" x14ac:dyDescent="0.35">
      <c r="A12" s="47" t="s">
        <v>137</v>
      </c>
      <c r="B12" s="48">
        <v>256</v>
      </c>
      <c r="C12" s="48">
        <v>384</v>
      </c>
      <c r="D12" s="52">
        <v>384</v>
      </c>
      <c r="E12" s="5">
        <v>800</v>
      </c>
      <c r="F12" s="53" t="s">
        <v>136</v>
      </c>
    </row>
    <row r="13" spans="1:6" x14ac:dyDescent="0.35">
      <c r="A13" s="107" t="s">
        <v>138</v>
      </c>
      <c r="B13" s="82"/>
      <c r="C13" s="82"/>
      <c r="D13" s="82"/>
      <c r="E13" s="82"/>
      <c r="F13" s="82"/>
    </row>
    <row r="14" spans="1:6" x14ac:dyDescent="0.35">
      <c r="A14" s="108">
        <f>SUMIF(D5:D12,"&lt;80",E5:E12)/SUM(E5:E12)</f>
        <v>0.46675900277008309</v>
      </c>
      <c r="B14" s="82"/>
      <c r="C14" s="82"/>
      <c r="D14" s="82"/>
      <c r="E14" s="82"/>
      <c r="F14" s="82"/>
    </row>
  </sheetData>
  <mergeCells count="4">
    <mergeCell ref="A13:F13"/>
    <mergeCell ref="A2:F2"/>
    <mergeCell ref="A14:F14"/>
    <mergeCell ref="A1:F1"/>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
  <sheetViews>
    <sheetView showGridLines="0" workbookViewId="0">
      <selection sqref="A1:H1"/>
    </sheetView>
  </sheetViews>
  <sheetFormatPr defaultRowHeight="14.5" x14ac:dyDescent="0.35"/>
  <cols>
    <col min="1" max="1" width="26" customWidth="1"/>
    <col min="2" max="2" width="8" customWidth="1"/>
    <col min="3" max="3" width="16" customWidth="1"/>
    <col min="4" max="4" width="20" customWidth="1"/>
    <col min="5" max="5" width="18" customWidth="1"/>
    <col min="6" max="7" width="16" customWidth="1"/>
    <col min="8" max="8" width="42" customWidth="1"/>
  </cols>
  <sheetData>
    <row r="1" spans="1:8" ht="32" customHeight="1" x14ac:dyDescent="0.35">
      <c r="A1" s="110" t="s">
        <v>139</v>
      </c>
      <c r="B1" s="82"/>
      <c r="C1" s="82"/>
      <c r="D1" s="82"/>
      <c r="E1" s="82"/>
      <c r="F1" s="82"/>
      <c r="G1" s="82"/>
      <c r="H1" s="82"/>
    </row>
    <row r="2" spans="1:8" x14ac:dyDescent="0.35">
      <c r="A2" s="103" t="s">
        <v>140</v>
      </c>
      <c r="B2" s="82"/>
      <c r="C2" s="82"/>
      <c r="D2" s="82"/>
      <c r="E2" s="82"/>
      <c r="F2" s="82"/>
      <c r="G2" s="82"/>
      <c r="H2" s="82"/>
    </row>
    <row r="4" spans="1:8" ht="36" customHeight="1" x14ac:dyDescent="0.35">
      <c r="A4" s="54" t="s">
        <v>141</v>
      </c>
      <c r="B4" s="54" t="s">
        <v>142</v>
      </c>
      <c r="C4" s="54" t="s">
        <v>143</v>
      </c>
      <c r="D4" s="54" t="s">
        <v>144</v>
      </c>
      <c r="E4" s="54" t="s">
        <v>145</v>
      </c>
      <c r="F4" s="54" t="s">
        <v>146</v>
      </c>
      <c r="G4" s="54" t="s">
        <v>147</v>
      </c>
      <c r="H4" s="54" t="s">
        <v>148</v>
      </c>
    </row>
    <row r="5" spans="1:8" x14ac:dyDescent="0.35">
      <c r="A5" s="55" t="s">
        <v>149</v>
      </c>
      <c r="B5" s="56">
        <v>2026</v>
      </c>
      <c r="C5" s="57">
        <v>2000</v>
      </c>
      <c r="D5" s="57">
        <v>500</v>
      </c>
      <c r="E5" s="57">
        <v>200</v>
      </c>
      <c r="F5" s="57">
        <v>100</v>
      </c>
      <c r="G5" s="58">
        <f t="shared" ref="G5:G10" si="0">(D5+E5)/90000</f>
        <v>7.7777777777777776E-3</v>
      </c>
      <c r="H5" s="59" t="s">
        <v>150</v>
      </c>
    </row>
    <row r="6" spans="1:8" x14ac:dyDescent="0.35">
      <c r="A6" s="60" t="s">
        <v>151</v>
      </c>
      <c r="B6" s="29">
        <v>2027</v>
      </c>
      <c r="C6" s="61">
        <v>15000</v>
      </c>
      <c r="D6" s="61">
        <v>8000</v>
      </c>
      <c r="E6" s="61">
        <v>3000</v>
      </c>
      <c r="F6" s="61">
        <v>800</v>
      </c>
      <c r="G6" s="62">
        <f t="shared" si="0"/>
        <v>0.12222222222222222</v>
      </c>
      <c r="H6" s="27" t="s">
        <v>152</v>
      </c>
    </row>
    <row r="7" spans="1:8" x14ac:dyDescent="0.35">
      <c r="A7" s="55" t="s">
        <v>153</v>
      </c>
      <c r="B7" s="56">
        <v>2028</v>
      </c>
      <c r="C7" s="57">
        <v>35000</v>
      </c>
      <c r="D7" s="57">
        <v>20000</v>
      </c>
      <c r="E7" s="57">
        <v>12000</v>
      </c>
      <c r="F7" s="57">
        <v>4000</v>
      </c>
      <c r="G7" s="58">
        <f t="shared" si="0"/>
        <v>0.35555555555555557</v>
      </c>
      <c r="H7" s="59" t="s">
        <v>154</v>
      </c>
    </row>
    <row r="8" spans="1:8" x14ac:dyDescent="0.35">
      <c r="A8" s="60" t="s">
        <v>155</v>
      </c>
      <c r="B8" s="29">
        <v>2029</v>
      </c>
      <c r="C8" s="61">
        <v>60000</v>
      </c>
      <c r="D8" s="61">
        <v>35000</v>
      </c>
      <c r="E8" s="61">
        <v>30000</v>
      </c>
      <c r="F8" s="61">
        <v>12000</v>
      </c>
      <c r="G8" s="62">
        <f t="shared" si="0"/>
        <v>0.72222222222222221</v>
      </c>
      <c r="H8" s="27" t="s">
        <v>156</v>
      </c>
    </row>
    <row r="9" spans="1:8" x14ac:dyDescent="0.35">
      <c r="A9" s="55" t="s">
        <v>157</v>
      </c>
      <c r="B9" s="56">
        <v>2030</v>
      </c>
      <c r="C9" s="57">
        <v>80000</v>
      </c>
      <c r="D9" s="57">
        <v>50000</v>
      </c>
      <c r="E9" s="57">
        <v>60000</v>
      </c>
      <c r="F9" s="57">
        <v>25000</v>
      </c>
      <c r="G9" s="58">
        <f t="shared" si="0"/>
        <v>1.2222222222222223</v>
      </c>
      <c r="H9" s="59" t="s">
        <v>158</v>
      </c>
    </row>
    <row r="10" spans="1:8" x14ac:dyDescent="0.35">
      <c r="A10" s="60" t="s">
        <v>159</v>
      </c>
      <c r="B10" s="29">
        <v>2032</v>
      </c>
      <c r="C10" s="61">
        <v>90000</v>
      </c>
      <c r="D10" s="61">
        <v>20000</v>
      </c>
      <c r="E10" s="61">
        <v>85000</v>
      </c>
      <c r="F10" s="61">
        <v>55000</v>
      </c>
      <c r="G10" s="62">
        <f t="shared" si="0"/>
        <v>1.1666666666666667</v>
      </c>
      <c r="H10" s="27" t="s">
        <v>160</v>
      </c>
    </row>
  </sheetData>
  <mergeCells count="2">
    <mergeCell ref="A2:H2"/>
    <mergeCell ref="A1:H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4"/>
  <sheetViews>
    <sheetView showGridLines="0" workbookViewId="0">
      <selection sqref="A1:G1"/>
    </sheetView>
  </sheetViews>
  <sheetFormatPr defaultRowHeight="14.5" x14ac:dyDescent="0.35"/>
  <cols>
    <col min="1" max="1" width="28" customWidth="1"/>
    <col min="2" max="2" width="26" customWidth="1"/>
    <col min="3" max="4" width="20" customWidth="1"/>
    <col min="5" max="5" width="16" customWidth="1"/>
    <col min="6" max="6" width="20" customWidth="1"/>
    <col min="7" max="7" width="30" customWidth="1"/>
  </cols>
  <sheetData>
    <row r="1" spans="1:7" ht="32" customHeight="1" x14ac:dyDescent="0.35">
      <c r="A1" s="104" t="s">
        <v>161</v>
      </c>
      <c r="B1" s="82"/>
      <c r="C1" s="82"/>
      <c r="D1" s="82"/>
      <c r="E1" s="82"/>
      <c r="F1" s="82"/>
      <c r="G1" s="82"/>
    </row>
    <row r="2" spans="1:7" x14ac:dyDescent="0.35">
      <c r="A2" s="103" t="s">
        <v>162</v>
      </c>
      <c r="B2" s="82"/>
      <c r="C2" s="82"/>
      <c r="D2" s="82"/>
      <c r="E2" s="82"/>
      <c r="F2" s="82"/>
      <c r="G2" s="82"/>
    </row>
    <row r="4" spans="1:7" ht="40" customHeight="1" x14ac:dyDescent="0.35">
      <c r="A4" s="63" t="s">
        <v>163</v>
      </c>
      <c r="B4" s="63" t="s">
        <v>164</v>
      </c>
      <c r="C4" s="63" t="s">
        <v>165</v>
      </c>
      <c r="D4" s="63" t="s">
        <v>166</v>
      </c>
      <c r="E4" s="63" t="s">
        <v>167</v>
      </c>
      <c r="F4" s="63" t="s">
        <v>168</v>
      </c>
      <c r="G4" s="63" t="s">
        <v>169</v>
      </c>
    </row>
    <row r="5" spans="1:7" x14ac:dyDescent="0.35">
      <c r="A5" s="64" t="s">
        <v>170</v>
      </c>
      <c r="B5" s="65" t="s">
        <v>171</v>
      </c>
      <c r="C5" s="13">
        <v>10</v>
      </c>
      <c r="D5" s="13">
        <v>8</v>
      </c>
      <c r="E5" s="66">
        <f t="shared" ref="E5:E14" si="0">C5*D5</f>
        <v>80</v>
      </c>
      <c r="F5" s="51">
        <v>5</v>
      </c>
      <c r="G5" s="64" t="s">
        <v>172</v>
      </c>
    </row>
    <row r="6" spans="1:7" x14ac:dyDescent="0.35">
      <c r="A6" s="67" t="s">
        <v>173</v>
      </c>
      <c r="B6" s="68" t="s">
        <v>63</v>
      </c>
      <c r="C6" s="13">
        <v>9</v>
      </c>
      <c r="D6" s="13">
        <v>10</v>
      </c>
      <c r="E6" s="69">
        <f t="shared" si="0"/>
        <v>90</v>
      </c>
      <c r="F6" s="45">
        <v>20</v>
      </c>
      <c r="G6" s="67" t="s">
        <v>174</v>
      </c>
    </row>
    <row r="7" spans="1:7" x14ac:dyDescent="0.35">
      <c r="A7" s="64" t="s">
        <v>175</v>
      </c>
      <c r="B7" s="65" t="s">
        <v>176</v>
      </c>
      <c r="C7" s="13">
        <v>8</v>
      </c>
      <c r="D7" s="13">
        <v>9</v>
      </c>
      <c r="E7" s="66">
        <f t="shared" si="0"/>
        <v>72</v>
      </c>
      <c r="F7" s="45">
        <v>10</v>
      </c>
      <c r="G7" s="64" t="s">
        <v>177</v>
      </c>
    </row>
    <row r="8" spans="1:7" x14ac:dyDescent="0.35">
      <c r="A8" s="67" t="s">
        <v>178</v>
      </c>
      <c r="B8" s="68" t="s">
        <v>63</v>
      </c>
      <c r="C8" s="13">
        <v>9</v>
      </c>
      <c r="D8" s="13">
        <v>8</v>
      </c>
      <c r="E8" s="69">
        <f t="shared" si="0"/>
        <v>72</v>
      </c>
      <c r="F8" s="51">
        <v>7</v>
      </c>
      <c r="G8" s="67" t="s">
        <v>179</v>
      </c>
    </row>
    <row r="9" spans="1:7" x14ac:dyDescent="0.35">
      <c r="A9" s="64" t="s">
        <v>180</v>
      </c>
      <c r="B9" s="65" t="s">
        <v>181</v>
      </c>
      <c r="C9" s="14">
        <v>7</v>
      </c>
      <c r="D9" s="13">
        <v>9</v>
      </c>
      <c r="E9" s="66">
        <f t="shared" si="0"/>
        <v>63</v>
      </c>
      <c r="F9" s="45">
        <v>15</v>
      </c>
      <c r="G9" s="64" t="s">
        <v>182</v>
      </c>
    </row>
    <row r="10" spans="1:7" x14ac:dyDescent="0.35">
      <c r="A10" s="67" t="s">
        <v>183</v>
      </c>
      <c r="B10" s="68" t="s">
        <v>105</v>
      </c>
      <c r="C10" s="14">
        <v>6</v>
      </c>
      <c r="D10" s="13">
        <v>10</v>
      </c>
      <c r="E10" s="69">
        <f t="shared" si="0"/>
        <v>60</v>
      </c>
      <c r="F10" s="45">
        <v>30</v>
      </c>
      <c r="G10" s="67" t="s">
        <v>184</v>
      </c>
    </row>
    <row r="11" spans="1:7" x14ac:dyDescent="0.35">
      <c r="A11" s="64" t="s">
        <v>185</v>
      </c>
      <c r="B11" s="65" t="s">
        <v>87</v>
      </c>
      <c r="C11" s="14">
        <v>5</v>
      </c>
      <c r="D11" s="14">
        <v>5</v>
      </c>
      <c r="E11" s="66">
        <f t="shared" si="0"/>
        <v>25</v>
      </c>
      <c r="F11" s="52">
        <v>2</v>
      </c>
      <c r="G11" s="64" t="s">
        <v>186</v>
      </c>
    </row>
    <row r="12" spans="1:7" x14ac:dyDescent="0.35">
      <c r="A12" s="67" t="s">
        <v>187</v>
      </c>
      <c r="B12" s="68" t="s">
        <v>188</v>
      </c>
      <c r="C12" s="14">
        <v>7</v>
      </c>
      <c r="D12" s="21">
        <v>4</v>
      </c>
      <c r="E12" s="69">
        <f t="shared" si="0"/>
        <v>28</v>
      </c>
      <c r="F12" s="52">
        <v>1</v>
      </c>
      <c r="G12" s="67" t="s">
        <v>189</v>
      </c>
    </row>
    <row r="13" spans="1:7" x14ac:dyDescent="0.35">
      <c r="A13" s="64" t="s">
        <v>190</v>
      </c>
      <c r="B13" s="65" t="s">
        <v>191</v>
      </c>
      <c r="C13" s="13">
        <v>8</v>
      </c>
      <c r="D13" s="13">
        <v>10</v>
      </c>
      <c r="E13" s="66">
        <f t="shared" si="0"/>
        <v>80</v>
      </c>
      <c r="F13" s="45">
        <v>10</v>
      </c>
      <c r="G13" s="64" t="s">
        <v>192</v>
      </c>
    </row>
    <row r="14" spans="1:7" x14ac:dyDescent="0.35">
      <c r="A14" s="67" t="s">
        <v>193</v>
      </c>
      <c r="B14" s="68" t="s">
        <v>194</v>
      </c>
      <c r="C14" s="13">
        <v>8</v>
      </c>
      <c r="D14" s="13">
        <v>9</v>
      </c>
      <c r="E14" s="69">
        <f t="shared" si="0"/>
        <v>72</v>
      </c>
      <c r="F14" s="51">
        <v>5</v>
      </c>
      <c r="G14" s="67" t="s">
        <v>195</v>
      </c>
    </row>
  </sheetData>
  <mergeCells count="2">
    <mergeCell ref="A2:G2"/>
    <mergeCell ref="A1:G1"/>
  </mergeCells>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5"/>
  <sheetViews>
    <sheetView showGridLines="0" workbookViewId="0">
      <pane ySplit="4" topLeftCell="A5" activePane="bottomLeft" state="frozen"/>
      <selection pane="bottomLeft" activeCell="G7" sqref="G7"/>
    </sheetView>
  </sheetViews>
  <sheetFormatPr defaultRowHeight="14.5" x14ac:dyDescent="0.35"/>
  <cols>
    <col min="1" max="1" width="5" customWidth="1"/>
    <col min="2" max="2" width="22" customWidth="1"/>
    <col min="3" max="3" width="30" customWidth="1"/>
    <col min="4" max="4" width="22" customWidth="1"/>
    <col min="5" max="5" width="8" customWidth="1"/>
    <col min="6" max="6" width="32" customWidth="1"/>
    <col min="7" max="7" width="42" customWidth="1"/>
  </cols>
  <sheetData>
    <row r="1" spans="1:7" ht="38" customHeight="1" x14ac:dyDescent="0.35">
      <c r="A1" s="112" t="s">
        <v>196</v>
      </c>
      <c r="B1" s="82"/>
      <c r="C1" s="82"/>
      <c r="D1" s="82"/>
      <c r="E1" s="82"/>
      <c r="F1" s="82"/>
      <c r="G1" s="82"/>
    </row>
    <row r="2" spans="1:7" ht="28" customHeight="1" x14ac:dyDescent="0.35">
      <c r="A2" s="111" t="s">
        <v>197</v>
      </c>
      <c r="B2" s="82"/>
      <c r="C2" s="82"/>
      <c r="D2" s="82"/>
      <c r="E2" s="82"/>
      <c r="F2" s="82"/>
      <c r="G2" s="82"/>
    </row>
    <row r="4" spans="1:7" ht="36" customHeight="1" x14ac:dyDescent="0.35">
      <c r="A4" s="70" t="s">
        <v>198</v>
      </c>
      <c r="B4" s="70" t="s">
        <v>199</v>
      </c>
      <c r="C4" s="70" t="s">
        <v>200</v>
      </c>
      <c r="D4" s="70" t="s">
        <v>201</v>
      </c>
      <c r="E4" s="70" t="s">
        <v>142</v>
      </c>
      <c r="F4" s="70" t="s">
        <v>202</v>
      </c>
      <c r="G4" s="70" t="s">
        <v>203</v>
      </c>
    </row>
    <row r="5" spans="1:7" ht="42" customHeight="1" x14ac:dyDescent="0.35">
      <c r="A5" s="71">
        <v>1</v>
      </c>
      <c r="B5" s="72" t="s">
        <v>204</v>
      </c>
      <c r="C5" s="73" t="s">
        <v>205</v>
      </c>
      <c r="D5" s="73" t="s">
        <v>206</v>
      </c>
      <c r="E5" s="74" t="s">
        <v>207</v>
      </c>
      <c r="F5" s="73" t="s">
        <v>208</v>
      </c>
      <c r="G5" s="75" t="s">
        <v>209</v>
      </c>
    </row>
    <row r="6" spans="1:7" ht="42" customHeight="1" x14ac:dyDescent="0.35">
      <c r="A6" s="76">
        <v>2</v>
      </c>
      <c r="B6" s="77" t="s">
        <v>204</v>
      </c>
      <c r="C6" s="78" t="s">
        <v>210</v>
      </c>
      <c r="D6" s="78" t="s">
        <v>211</v>
      </c>
      <c r="E6" s="79" t="s">
        <v>212</v>
      </c>
      <c r="F6" s="78" t="s">
        <v>213</v>
      </c>
      <c r="G6" s="80" t="s">
        <v>214</v>
      </c>
    </row>
    <row r="7" spans="1:7" ht="42" customHeight="1" x14ac:dyDescent="0.35">
      <c r="A7" s="71">
        <v>3</v>
      </c>
      <c r="B7" s="72" t="s">
        <v>204</v>
      </c>
      <c r="C7" s="73" t="s">
        <v>215</v>
      </c>
      <c r="D7" s="73" t="s">
        <v>216</v>
      </c>
      <c r="E7" s="74" t="s">
        <v>212</v>
      </c>
      <c r="F7" s="73" t="s">
        <v>217</v>
      </c>
      <c r="G7" s="75" t="s">
        <v>218</v>
      </c>
    </row>
    <row r="8" spans="1:7" ht="42" customHeight="1" x14ac:dyDescent="0.35">
      <c r="A8" s="76">
        <v>4</v>
      </c>
      <c r="B8" s="77" t="s">
        <v>219</v>
      </c>
      <c r="C8" s="78" t="s">
        <v>220</v>
      </c>
      <c r="D8" s="78" t="s">
        <v>221</v>
      </c>
      <c r="E8" s="79" t="s">
        <v>212</v>
      </c>
      <c r="F8" s="78" t="s">
        <v>222</v>
      </c>
      <c r="G8" s="80" t="s">
        <v>223</v>
      </c>
    </row>
    <row r="9" spans="1:7" ht="42" customHeight="1" x14ac:dyDescent="0.35">
      <c r="A9" s="71">
        <v>5</v>
      </c>
      <c r="B9" s="72" t="s">
        <v>219</v>
      </c>
      <c r="C9" s="73" t="s">
        <v>224</v>
      </c>
      <c r="D9" s="73" t="s">
        <v>225</v>
      </c>
      <c r="E9" s="74" t="s">
        <v>212</v>
      </c>
      <c r="F9" s="73" t="s">
        <v>226</v>
      </c>
      <c r="G9" s="75" t="s">
        <v>227</v>
      </c>
    </row>
    <row r="10" spans="1:7" ht="42" customHeight="1" x14ac:dyDescent="0.35">
      <c r="A10" s="76">
        <v>6</v>
      </c>
      <c r="B10" s="77" t="s">
        <v>219</v>
      </c>
      <c r="C10" s="78" t="s">
        <v>228</v>
      </c>
      <c r="D10" s="78" t="s">
        <v>229</v>
      </c>
      <c r="E10" s="79" t="s">
        <v>212</v>
      </c>
      <c r="F10" s="78" t="s">
        <v>230</v>
      </c>
      <c r="G10" s="80" t="s">
        <v>231</v>
      </c>
    </row>
    <row r="11" spans="1:7" ht="42" customHeight="1" x14ac:dyDescent="0.35">
      <c r="A11" s="71">
        <v>7</v>
      </c>
      <c r="B11" s="72" t="s">
        <v>232</v>
      </c>
      <c r="C11" s="73" t="s">
        <v>233</v>
      </c>
      <c r="D11" s="73" t="s">
        <v>234</v>
      </c>
      <c r="E11" s="74" t="s">
        <v>212</v>
      </c>
      <c r="F11" s="73" t="s">
        <v>235</v>
      </c>
      <c r="G11" s="75" t="s">
        <v>236</v>
      </c>
    </row>
    <row r="12" spans="1:7" ht="42" customHeight="1" x14ac:dyDescent="0.35">
      <c r="A12" s="76">
        <v>8</v>
      </c>
      <c r="B12" s="77" t="s">
        <v>232</v>
      </c>
      <c r="C12" s="78" t="s">
        <v>237</v>
      </c>
      <c r="D12" s="78" t="s">
        <v>238</v>
      </c>
      <c r="E12" s="79" t="s">
        <v>212</v>
      </c>
      <c r="F12" s="78" t="s">
        <v>239</v>
      </c>
      <c r="G12" s="80" t="s">
        <v>240</v>
      </c>
    </row>
    <row r="13" spans="1:7" ht="42" customHeight="1" x14ac:dyDescent="0.35">
      <c r="A13" s="71">
        <v>9</v>
      </c>
      <c r="B13" s="72" t="s">
        <v>241</v>
      </c>
      <c r="C13" s="73" t="s">
        <v>242</v>
      </c>
      <c r="D13" s="73" t="s">
        <v>243</v>
      </c>
      <c r="E13" s="74" t="s">
        <v>212</v>
      </c>
      <c r="F13" s="73" t="s">
        <v>244</v>
      </c>
      <c r="G13" s="75" t="s">
        <v>245</v>
      </c>
    </row>
    <row r="14" spans="1:7" ht="42" customHeight="1" x14ac:dyDescent="0.35">
      <c r="A14" s="76">
        <v>10</v>
      </c>
      <c r="B14" s="77" t="s">
        <v>241</v>
      </c>
      <c r="C14" s="78" t="s">
        <v>246</v>
      </c>
      <c r="D14" s="78" t="s">
        <v>243</v>
      </c>
      <c r="E14" s="79" t="s">
        <v>212</v>
      </c>
      <c r="F14" s="78" t="s">
        <v>247</v>
      </c>
      <c r="G14" s="80" t="s">
        <v>248</v>
      </c>
    </row>
    <row r="15" spans="1:7" ht="42" customHeight="1" x14ac:dyDescent="0.35">
      <c r="A15" s="71">
        <v>11</v>
      </c>
      <c r="B15" s="72" t="s">
        <v>241</v>
      </c>
      <c r="C15" s="73" t="s">
        <v>249</v>
      </c>
      <c r="D15" s="73" t="s">
        <v>250</v>
      </c>
      <c r="E15" s="74" t="s">
        <v>251</v>
      </c>
      <c r="F15" s="73" t="s">
        <v>252</v>
      </c>
      <c r="G15" s="75" t="s">
        <v>253</v>
      </c>
    </row>
    <row r="16" spans="1:7" ht="42" customHeight="1" x14ac:dyDescent="0.35">
      <c r="A16" s="76">
        <v>12</v>
      </c>
      <c r="B16" s="77" t="s">
        <v>254</v>
      </c>
      <c r="C16" s="78" t="s">
        <v>255</v>
      </c>
      <c r="D16" s="78" t="s">
        <v>256</v>
      </c>
      <c r="E16" s="79" t="s">
        <v>212</v>
      </c>
      <c r="F16" s="78" t="s">
        <v>257</v>
      </c>
      <c r="G16" s="80" t="s">
        <v>258</v>
      </c>
    </row>
    <row r="17" spans="1:7" ht="42" customHeight="1" x14ac:dyDescent="0.35">
      <c r="A17" s="71">
        <v>13</v>
      </c>
      <c r="B17" s="72" t="s">
        <v>254</v>
      </c>
      <c r="C17" s="73" t="s">
        <v>259</v>
      </c>
      <c r="D17" s="73" t="s">
        <v>260</v>
      </c>
      <c r="E17" s="74" t="s">
        <v>207</v>
      </c>
      <c r="F17" s="73" t="s">
        <v>261</v>
      </c>
      <c r="G17" s="75" t="s">
        <v>262</v>
      </c>
    </row>
    <row r="18" spans="1:7" ht="42" customHeight="1" x14ac:dyDescent="0.35">
      <c r="A18" s="76">
        <v>14</v>
      </c>
      <c r="B18" s="77" t="s">
        <v>254</v>
      </c>
      <c r="C18" s="78" t="s">
        <v>263</v>
      </c>
      <c r="D18" s="78" t="s">
        <v>264</v>
      </c>
      <c r="E18" s="79" t="s">
        <v>265</v>
      </c>
      <c r="F18" s="78" t="s">
        <v>266</v>
      </c>
      <c r="G18" s="80" t="s">
        <v>267</v>
      </c>
    </row>
    <row r="19" spans="1:7" ht="42" customHeight="1" x14ac:dyDescent="0.35">
      <c r="A19" s="71">
        <v>15</v>
      </c>
      <c r="B19" s="72" t="s">
        <v>268</v>
      </c>
      <c r="C19" s="73" t="s">
        <v>269</v>
      </c>
      <c r="D19" s="73" t="s">
        <v>221</v>
      </c>
      <c r="E19" s="74" t="s">
        <v>212</v>
      </c>
      <c r="F19" s="73" t="s">
        <v>270</v>
      </c>
      <c r="G19" s="75" t="s">
        <v>223</v>
      </c>
    </row>
    <row r="20" spans="1:7" ht="42" customHeight="1" x14ac:dyDescent="0.35">
      <c r="A20" s="76">
        <v>16</v>
      </c>
      <c r="B20" s="77" t="s">
        <v>268</v>
      </c>
      <c r="C20" s="78" t="s">
        <v>271</v>
      </c>
      <c r="D20" s="78" t="s">
        <v>272</v>
      </c>
      <c r="E20" s="79" t="s">
        <v>212</v>
      </c>
      <c r="F20" s="78" t="s">
        <v>273</v>
      </c>
      <c r="G20" s="80" t="s">
        <v>274</v>
      </c>
    </row>
    <row r="21" spans="1:7" ht="42" customHeight="1" x14ac:dyDescent="0.35">
      <c r="A21" s="71">
        <v>17</v>
      </c>
      <c r="B21" s="72" t="s">
        <v>268</v>
      </c>
      <c r="C21" s="73" t="s">
        <v>275</v>
      </c>
      <c r="D21" s="73" t="s">
        <v>276</v>
      </c>
      <c r="E21" s="74" t="s">
        <v>251</v>
      </c>
      <c r="F21" s="73" t="s">
        <v>277</v>
      </c>
      <c r="G21" s="75" t="s">
        <v>278</v>
      </c>
    </row>
    <row r="22" spans="1:7" ht="42" customHeight="1" x14ac:dyDescent="0.35">
      <c r="A22" s="76">
        <v>18</v>
      </c>
      <c r="B22" s="77" t="s">
        <v>279</v>
      </c>
      <c r="C22" s="78" t="s">
        <v>280</v>
      </c>
      <c r="D22" s="78" t="s">
        <v>281</v>
      </c>
      <c r="E22" s="79" t="s">
        <v>282</v>
      </c>
      <c r="F22" s="78" t="s">
        <v>283</v>
      </c>
      <c r="G22" s="80" t="s">
        <v>284</v>
      </c>
    </row>
    <row r="23" spans="1:7" ht="42" customHeight="1" x14ac:dyDescent="0.35">
      <c r="A23" s="71">
        <v>19</v>
      </c>
      <c r="B23" s="72" t="s">
        <v>279</v>
      </c>
      <c r="C23" s="73" t="s">
        <v>285</v>
      </c>
      <c r="D23" s="73" t="s">
        <v>286</v>
      </c>
      <c r="E23" s="74" t="s">
        <v>287</v>
      </c>
      <c r="F23" s="73" t="s">
        <v>288</v>
      </c>
      <c r="G23" s="75" t="s">
        <v>284</v>
      </c>
    </row>
    <row r="25" spans="1:7" ht="52" customHeight="1" x14ac:dyDescent="0.35">
      <c r="A25" s="113" t="s">
        <v>289</v>
      </c>
      <c r="B25" s="82"/>
      <c r="C25" s="82"/>
      <c r="D25" s="82"/>
      <c r="E25" s="82"/>
      <c r="F25" s="82"/>
      <c r="G25" s="82"/>
    </row>
  </sheetData>
  <mergeCells count="3">
    <mergeCell ref="A2:G2"/>
    <mergeCell ref="A1:G1"/>
    <mergeCell ref="A25:G25"/>
  </mergeCells>
  <hyperlinks>
    <hyperlink ref="G5" r:id="rId1" xr:uid="{00000000-0004-0000-0700-000000000000}"/>
    <hyperlink ref="G6" r:id="rId2" xr:uid="{00000000-0004-0000-0700-000001000000}"/>
    <hyperlink ref="G7" r:id="rId3" xr:uid="{00000000-0004-0000-0700-000002000000}"/>
    <hyperlink ref="G8" r:id="rId4" xr:uid="{00000000-0004-0000-0700-000003000000}"/>
    <hyperlink ref="G9" r:id="rId5" xr:uid="{00000000-0004-0000-0700-000004000000}"/>
    <hyperlink ref="G10" r:id="rId6" xr:uid="{00000000-0004-0000-0700-000005000000}"/>
    <hyperlink ref="G11" r:id="rId7" xr:uid="{00000000-0004-0000-0700-000006000000}"/>
    <hyperlink ref="G12" r:id="rId8" xr:uid="{00000000-0004-0000-0700-000007000000}"/>
    <hyperlink ref="G13" r:id="rId9" xr:uid="{00000000-0004-0000-0700-000008000000}"/>
    <hyperlink ref="G14" r:id="rId10" xr:uid="{00000000-0004-0000-0700-000009000000}"/>
    <hyperlink ref="G15" r:id="rId11" xr:uid="{00000000-0004-0000-0700-00000A000000}"/>
    <hyperlink ref="G16" r:id="rId12" xr:uid="{00000000-0004-0000-0700-00000B000000}"/>
    <hyperlink ref="G17" r:id="rId13" xr:uid="{00000000-0004-0000-0700-00000C000000}"/>
    <hyperlink ref="G18" r:id="rId14" xr:uid="{00000000-0004-0000-0700-00000D000000}"/>
    <hyperlink ref="G19" r:id="rId15" xr:uid="{00000000-0004-0000-0700-00000E000000}"/>
    <hyperlink ref="G20" r:id="rId16" xr:uid="{00000000-0004-0000-0700-00000F000000}"/>
    <hyperlink ref="G21" r:id="rId17" xr:uid="{00000000-0004-0000-0700-000010000000}"/>
    <hyperlink ref="G22" r:id="rId18" xr:uid="{00000000-0004-0000-0700-000011000000}"/>
    <hyperlink ref="G23" r:id="rId19" xr:uid="{00000000-0004-0000-0700-000012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7. Summary Dashboard</vt:lpstr>
      <vt:lpstr>1. Fleet Encryption Usage</vt:lpstr>
      <vt:lpstr>2. Quantum Threat Risk</vt:lpstr>
      <vt:lpstr>3. Shors Algorithm Timeline</vt:lpstr>
      <vt:lpstr>4. Grovers AES Impact</vt:lpstr>
      <vt:lpstr>5. PQC Migration Roadmap</vt:lpstr>
      <vt:lpstr>6. HNDL Threat Analysis</vt:lpstr>
      <vt:lpstr>8. Data Sources &amp; Citations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ADHITHYA RAVIPRAKASH</cp:lastModifiedBy>
  <dcterms:created xsi:type="dcterms:W3CDTF">2026-03-16T13:03:16Z</dcterms:created>
  <dcterms:modified xsi:type="dcterms:W3CDTF">2026-03-20T11:13:26Z</dcterms:modified>
</cp:coreProperties>
</file>