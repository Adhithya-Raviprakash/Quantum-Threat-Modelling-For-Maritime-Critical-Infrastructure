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. Summary Dashboard" sheetId="1" state="visible" r:id="rId1"/>
    <sheet xmlns:r="http://schemas.openxmlformats.org/officeDocument/2006/relationships" name="1. Fleet Encryption Usage" sheetId="2" state="visible" r:id="rId2"/>
    <sheet xmlns:r="http://schemas.openxmlformats.org/officeDocument/2006/relationships" name="2. Quantum Threat Risk" sheetId="3" state="visible" r:id="rId3"/>
    <sheet xmlns:r="http://schemas.openxmlformats.org/officeDocument/2006/relationships" name="3. Shors Algorithm Timeline" sheetId="4" state="visible" r:id="rId4"/>
    <sheet xmlns:r="http://schemas.openxmlformats.org/officeDocument/2006/relationships" name="4. Grovers AES Impact" sheetId="5" state="visible" r:id="rId5"/>
    <sheet xmlns:r="http://schemas.openxmlformats.org/officeDocument/2006/relationships" name="5. PQC Migration Roadmap" sheetId="6" state="visible" r:id="rId6"/>
    <sheet xmlns:r="http://schemas.openxmlformats.org/officeDocument/2006/relationships" name="6. HNDL Threat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C00000"/>
      <sz val="10"/>
    </font>
    <font>
      <name val="Arial"/>
      <b val="1"/>
      <color rgb="00C55A11"/>
      <sz val="10"/>
    </font>
    <font>
      <name val="Arial"/>
      <b val="1"/>
      <sz val="10"/>
    </font>
    <font>
      <name val="Arial"/>
      <b val="1"/>
      <color rgb="00375623"/>
      <sz val="10"/>
    </font>
    <font>
      <name val="Arial"/>
      <b val="1"/>
      <color rgb="00BF8F00"/>
      <sz val="10"/>
    </font>
    <font>
      <name val="Arial"/>
      <b val="1"/>
      <color rgb="00000000"/>
      <sz val="10"/>
    </font>
    <font>
      <name val="Arial"/>
      <b val="1"/>
    </font>
    <font>
      <name val="Arial"/>
      <b val="1"/>
      <color rgb="00FFFFFF"/>
    </font>
    <font>
      <name val="Arial"/>
      <b val="1"/>
      <color rgb="00FFFFFF"/>
      <sz val="15"/>
    </font>
    <font>
      <name val="Arial"/>
      <b val="1"/>
      <color rgb="002E75B6"/>
      <sz val="9"/>
    </font>
    <font>
      <name val="Arial"/>
      <b val="1"/>
      <color rgb="002E75B6"/>
      <sz val="16"/>
    </font>
    <font>
      <name val="Arial"/>
      <b val="1"/>
      <color rgb="00C00000"/>
      <sz val="9"/>
    </font>
    <font>
      <name val="Arial"/>
      <b val="1"/>
      <color rgb="00C00000"/>
      <sz val="16"/>
    </font>
    <font>
      <name val="Arial"/>
      <b val="1"/>
      <color rgb="00C55A11"/>
      <sz val="9"/>
    </font>
    <font>
      <name val="Arial"/>
      <b val="1"/>
      <color rgb="00C55A11"/>
      <sz val="16"/>
    </font>
    <font>
      <name val="Arial"/>
      <b val="1"/>
      <color rgb="00375623"/>
      <sz val="9"/>
    </font>
    <font>
      <name val="Arial"/>
      <b val="1"/>
      <color rgb="00375623"/>
      <sz val="16"/>
    </font>
    <font>
      <name val="Arial"/>
      <b val="1"/>
      <color rgb="007030A0"/>
      <sz val="9"/>
    </font>
    <font>
      <name val="Arial"/>
      <b val="1"/>
      <color rgb="007030A0"/>
      <sz val="16"/>
    </font>
    <font>
      <name val="Arial"/>
      <b val="1"/>
      <color rgb="001F3864"/>
      <sz val="9"/>
    </font>
    <font>
      <name val="Arial"/>
      <b val="1"/>
      <color rgb="001F3864"/>
      <sz val="16"/>
    </font>
    <font>
      <name val="Arial"/>
      <b val="1"/>
      <color rgb="00FFFFFF"/>
      <sz val="12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FFCC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EAD1DC"/>
      </patternFill>
    </fill>
    <fill>
      <patternFill patternType="solid">
        <fgColor rgb="00F2CEEF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D9EAD3"/>
      </patternFill>
    </fill>
    <fill>
      <patternFill patternType="solid">
        <fgColor rgb="00DAEEF3"/>
      </patternFill>
    </fill>
    <fill>
      <patternFill patternType="solid">
        <fgColor rgb="00BDD7EE"/>
      </patternFill>
    </fill>
    <fill>
      <patternFill patternType="solid">
        <fgColor rgb="00E2CEF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4" fillId="2" borderId="0" applyAlignment="1" pivotButton="0" quotePrefix="0" xfId="0">
      <alignment horizontal="center" vertical="center"/>
    </xf>
    <xf numFmtId="0" fontId="15" fillId="18" borderId="0" applyAlignment="1" pivotButton="0" quotePrefix="0" xfId="0">
      <alignment horizontal="center" vertical="center" wrapText="1"/>
    </xf>
    <xf numFmtId="0" fontId="17" fillId="7" borderId="0" applyAlignment="1" pivotButton="0" quotePrefix="0" xfId="0">
      <alignment horizontal="center" vertical="center" wrapText="1"/>
    </xf>
    <xf numFmtId="0" fontId="19" fillId="8" borderId="0" applyAlignment="1" pivotButton="0" quotePrefix="0" xfId="0">
      <alignment horizontal="center" vertical="center" wrapText="1"/>
    </xf>
    <xf numFmtId="0" fontId="21" fillId="9" borderId="0" applyAlignment="1" pivotButton="0" quotePrefix="0" xfId="0">
      <alignment horizontal="center" vertical="center" wrapText="1"/>
    </xf>
    <xf numFmtId="0" fontId="23" fillId="19" borderId="0" applyAlignment="1" pivotButton="0" quotePrefix="0" xfId="0">
      <alignment horizontal="center" vertical="center" wrapText="1"/>
    </xf>
    <xf numFmtId="0" fontId="25" fillId="18" borderId="0" applyAlignment="1" pivotButton="0" quotePrefix="0" xfId="0">
      <alignment horizontal="center" vertical="center" wrapText="1"/>
    </xf>
    <xf numFmtId="0" fontId="16" fillId="18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22" fillId="9" borderId="0" applyAlignment="1" pivotButton="0" quotePrefix="0" xfId="0">
      <alignment horizontal="center" vertical="center"/>
    </xf>
    <xf numFmtId="0" fontId="24" fillId="19" borderId="0" applyAlignment="1" pivotButton="0" quotePrefix="0" xfId="0">
      <alignment horizontal="center" vertical="center"/>
    </xf>
    <xf numFmtId="0" fontId="26" fillId="18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6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1" borderId="0" pivotButton="0" quotePrefix="0" xfId="0"/>
    <xf numFmtId="0" fontId="0" fillId="2" borderId="0" pivotButton="0" quotePrefix="0" xfId="0"/>
    <xf numFmtId="0" fontId="27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3" fontId="5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5" fillId="3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" fontId="4" fillId="7" borderId="1" applyAlignment="1" pivotButton="0" quotePrefix="0" xfId="0">
      <alignment horizontal="center" vertical="center"/>
    </xf>
    <xf numFmtId="1" fontId="8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1" fontId="4" fillId="8" borderId="1" applyAlignment="1" pivotButton="0" quotePrefix="0" xfId="0">
      <alignment horizontal="center" vertical="center"/>
    </xf>
    <xf numFmtId="1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1" fontId="4" fillId="10" borderId="1" applyAlignment="1" pivotButton="0" quotePrefix="0" xfId="0">
      <alignment horizontal="center" vertical="center"/>
    </xf>
    <xf numFmtId="1" fontId="8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" fontId="4" fillId="9" borderId="1" applyAlignment="1" pivotButton="0" quotePrefix="0" xfId="0">
      <alignment horizontal="center" vertical="center"/>
    </xf>
    <xf numFmtId="1" fontId="8" fillId="9" borderId="1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11" fillId="12" borderId="1" applyAlignment="1" pivotButton="0" quotePrefix="0" xfId="0">
      <alignment horizontal="center" vertical="center"/>
    </xf>
    <xf numFmtId="3" fontId="4" fillId="12" borderId="1" applyAlignment="1" pivotButton="0" quotePrefix="0" xfId="0">
      <alignment horizontal="center" vertical="center"/>
    </xf>
    <xf numFmtId="1" fontId="11" fillId="7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3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1" fontId="11" fillId="8" borderId="1" applyAlignment="1" pivotButton="0" quotePrefix="0" xfId="0">
      <alignment horizontal="center" vertical="center"/>
    </xf>
    <xf numFmtId="1" fontId="11" fillId="9" borderId="1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/>
    </xf>
    <xf numFmtId="1" fontId="4" fillId="4" borderId="1" applyAlignment="1" pivotButton="0" quotePrefix="0" xfId="0">
      <alignment horizontal="center" vertical="center"/>
    </xf>
    <xf numFmtId="1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left" vertical="center"/>
    </xf>
    <xf numFmtId="1" fontId="4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/>
    </xf>
    <xf numFmtId="1" fontId="7" fillId="8" borderId="1" applyAlignment="1" pivotButton="0" quotePrefix="0" xfId="0">
      <alignment horizontal="center" vertical="center"/>
    </xf>
    <xf numFmtId="1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8" fillId="7" borderId="0" applyAlignment="1" pivotButton="0" quotePrefix="0" xfId="0">
      <alignment horizontal="center"/>
    </xf>
    <xf numFmtId="164" fontId="13" fillId="6" borderId="0" applyAlignment="1" pivotButton="0" quotePrefix="0" xfId="0">
      <alignment horizontal="center"/>
    </xf>
    <xf numFmtId="0" fontId="1" fillId="15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left" vertical="center"/>
    </xf>
    <xf numFmtId="1" fontId="4" fillId="16" borderId="1" applyAlignment="1" pivotButton="0" quotePrefix="0" xfId="0">
      <alignment horizontal="center" vertical="center"/>
    </xf>
    <xf numFmtId="3" fontId="4" fillId="16" borderId="1" applyAlignment="1" pivotButton="0" quotePrefix="0" xfId="0">
      <alignment horizontal="center" vertical="center"/>
    </xf>
    <xf numFmtId="164" fontId="8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3" fontId="4" fillId="9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center" vertical="center"/>
    </xf>
    <xf numFmtId="1" fontId="8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4" fillId="18" borderId="1" applyAlignment="1" pivotButton="0" quotePrefix="0" xfId="0">
      <alignment horizontal="center" vertical="center"/>
    </xf>
    <xf numFmtId="1" fontId="8" fillId="1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Encryption Distribution by Vessel Category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'1. Fleet Encryption Usage'!C4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'1. Fleet Encryption Usage'!$A$5:$A$12</f>
            </numRef>
          </cat>
          <val>
            <numRef>
              <f>'1. Fleet Encryption Usage'!$C$5:$C$12</f>
            </numRef>
          </val>
        </ser>
        <ser>
          <idx val="1"/>
          <order val="1"/>
          <tx>
            <strRef>
              <f>'1. Fleet Encryption Usage'!D4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'1. Fleet Encryption Usage'!$A$5:$A$12</f>
            </numRef>
          </cat>
          <val>
            <numRef>
              <f>'1. Fleet Encryption Usage'!$D$5:$D$12</f>
            </numRef>
          </val>
        </ser>
        <ser>
          <idx val="2"/>
          <order val="2"/>
          <tx>
            <strRef>
              <f>'1. Fleet Encryption Usage'!E4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'1. Fleet Encryption Usage'!$A$5:$A$12</f>
            </numRef>
          </cat>
          <val>
            <numRef>
              <f>'1. Fleet Encryption Usage'!$E$5:$E$12</f>
            </numRef>
          </val>
        </ser>
        <ser>
          <idx val="3"/>
          <order val="3"/>
          <tx>
            <strRef>
              <f>'1. Fleet Encryption Usage'!F4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'1. Fleet Encryption Usage'!$A$5:$A$12</f>
            </numRef>
          </cat>
          <val>
            <numRef>
              <f>'1. Fleet Encryption Usage'!$F$5:$F$12</f>
            </numRef>
          </val>
        </ser>
        <ser>
          <idx val="4"/>
          <order val="4"/>
          <tx>
            <strRef>
              <f>'1. Fleet Encryption Usage'!G4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'1. Fleet Encryption Usage'!$A$5:$A$12</f>
            </numRef>
          </cat>
          <val>
            <numRef>
              <f>'1. Fleet Encryption Usage'!$G$5:$G$12</f>
            </numRef>
          </val>
        </ser>
        <ser>
          <idx val="5"/>
          <order val="5"/>
          <tx>
            <strRef>
              <f>'1. Fleet Encryption Usage'!H4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'1. Fleet Encryption Usage'!$A$5:$A$12</f>
            </numRef>
          </cat>
          <val>
            <numRef>
              <f>'1. Fleet Encryption Usage'!$H$5:$H$12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Vessel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Vessels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Fleet-Wide Encryption Algorithm Share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'1. Fleet Encryption Usage'!$C$4:$H$4</f>
            </numRef>
          </cat>
          <val>
            <numRef>
              <f>'1. Fleet Encryption Usage'!$C$13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'1. Fleet Encryption Usage'!$C$4:$H$4</f>
            </numRef>
          </cat>
          <val>
            <numRef>
              <f>'1. Fleet Encryption Usage'!$D$13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'1. Fleet Encryption Usage'!$C$4:$H$4</f>
            </numRef>
          </cat>
          <val>
            <numRef>
              <f>'1. Fleet Encryption Usage'!$E$13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'1. Fleet Encryption Usage'!$C$4:$H$4</f>
            </numRef>
          </cat>
          <val>
            <numRef>
              <f>'1. Fleet Encryption Usage'!$F$13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'1. Fleet Encryption Usage'!$C$4:$H$4</f>
            </numRef>
          </cat>
          <val>
            <numRef>
              <f>'1. Fleet Encryption Usage'!$G$13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'1. Fleet Encryption Usage'!$C$4:$H$4</f>
            </numRef>
          </cat>
          <val>
            <numRef>
              <f>'1. Fleet Encryption Usage'!$H$13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Quantum Risk Score by Maritime System (Likelihood × Impact)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'2. Quantum Threat Risk'!G4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'2. Quantum Threat Risk'!$A$5:$A$18</f>
            </numRef>
          </cat>
          <val>
            <numRef>
              <f>'2. Quantum Threat Risk'!$G$5:$G$18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Maritime System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Risk Score (max 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PQC Readiness vs Risk Score — Maritime Systems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'2. Quantum Threat Risk'!G4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'2. Quantum Threat Risk'!$A$5:$A$18</f>
            </numRef>
          </cat>
          <val>
            <numRef>
              <f>'2. Quantum Threat Risk'!$G$5:$G$18</f>
            </numRef>
          </val>
        </ser>
        <ser>
          <idx val="1"/>
          <order val="1"/>
          <tx>
            <strRef>
              <f>'2. Quantum Threat Risk'!H4</f>
            </strRef>
          </tx>
          <spPr>
            <a:ln xmlns:a="http://schemas.openxmlformats.org/drawingml/2006/main">
              <a:prstDash val="solid"/>
            </a:ln>
          </spPr>
          <cat>
            <numRef>
              <f>'2. Quantum Threat Risk'!$A$5:$A$18</f>
            </numRef>
          </cat>
          <val>
            <numRef>
              <f>'2. Quantum Threat Risk'!$H$5:$H$18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System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Physical Qubits Required to Break Cryptographic Algorithms (Shor's)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'3. Shors Algorithm Timeline'!J4</f>
            </strRef>
          </tx>
          <spPr>
            <a:ln xmlns:a="http://schemas.openxmlformats.org/drawingml/2006/main">
              <a:prstDash val="solid"/>
            </a:ln>
          </spPr>
          <cat>
            <numRef>
              <f>'3. Shors Algorithm Timeline'!$I$5:$I$14</f>
            </numRef>
          </cat>
          <val>
            <numRef>
              <f>'3. Shors Algorithm Timeline'!$J$5:$J$14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Algorithm + Key Size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Physical Qubits (millions)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Vessels Using Each Symmetric Encryption Algorithm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'4. Grovers AES Impact'!E4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'4. Grovers AES Impact'!$A$5:$A$12</f>
            </numRef>
          </cat>
          <val>
            <numRef>
              <f>'4. Grovers AES Impact'!$E$5:$E$12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Encryption Algorithm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Vessels (estimated)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Effective Security: Classical vs Post-Grover (bits)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'4. Grovers AES Impact'!C4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'4. Grovers AES Impact'!$A$5:$A$12</f>
            </numRef>
          </cat>
          <val>
            <numRef>
              <f>'4. Grovers AES Impact'!$C$5:$C$12</f>
            </numRef>
          </val>
        </ser>
        <ser>
          <idx val="1"/>
          <order val="1"/>
          <tx>
            <strRef>
              <f>'4. Grovers AES Impact'!D4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'4. Grovers AES Impact'!$A$5:$A$12</f>
            </numRef>
          </cat>
          <val>
            <numRef>
              <f>'4. Grovers AES Impact'!$D$5:$D$12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Algorithm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Security Bits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PQC Migration Progress 2026–2032 (Number of Vessels)</a:t>
            </a:r>
          </a:p>
        </rich>
      </tx>
    </title>
    <plotArea>
      <lineChart>
        <grouping val="standard"/>
        <ser>
          <idx val="0"/>
          <order val="0"/>
          <tx>
            <strRef>
              <f>'5. PQC Migration Roadmap'!D4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'5. PQC Migration Roadmap'!$B$5:$B$10</f>
            </numRef>
          </cat>
          <val>
            <numRef>
              <f>'5. PQC Migration Roadmap'!$D$5:$D$10</f>
            </numRef>
          </val>
        </ser>
        <ser>
          <idx val="1"/>
          <order val="1"/>
          <tx>
            <strRef>
              <f>'5. PQC Migration Roadmap'!E4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'5. PQC Migration Roadmap'!$B$5:$B$10</f>
            </numRef>
          </cat>
          <val>
            <numRef>
              <f>'5. PQC Migration Roadmap'!$E$5:$E$10</f>
            </numRef>
          </val>
        </ser>
        <ser>
          <idx val="2"/>
          <order val="2"/>
          <tx>
            <strRef>
              <f>'5. PQC Migration Roadmap'!F4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'5. PQC Migration Roadmap'!$B$5:$B$10</f>
            </numRef>
          </cat>
          <val>
            <numRef>
              <f>'5. PQC Migration Roadmap'!$F$5:$F$10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Vessels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HNDL Risk Score by Maritime Data Type (Interception × Sensitivity)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'6. HNDL Threat Analysis'!E4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'6. HNDL Threat Analysis'!$A$5:$A$14</f>
            </numRef>
          </cat>
          <val>
            <numRef>
              <f>'6. HNDL Threat Analysis'!$E$5:$E$14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HNDL Risk Score (max 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9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15</row>
      <rowOff>0</rowOff>
    </from>
    <ext cx="50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19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35</row>
      <rowOff>0</rowOff>
    </from>
    <ext cx="936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15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15</row>
      <rowOff>0</rowOff>
    </from>
    <ext cx="792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15</row>
      <rowOff>0</rowOff>
    </from>
    <ext cx="792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15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8" customHeight="1">
      <c r="A1" s="1" t="inlineStr">
        <is>
          <t>QUANTUM THREAT MODELLING — MARITIME CRITICAL INFRASTRUCTURE | CRYPTOLOGY CSE2021 DASHBOARD</t>
        </is>
      </c>
    </row>
    <row r="3" ht="28" customHeight="1">
      <c r="B3" s="2" t="inlineStr">
        <is>
          <t>Total Vessels
Analysed</t>
        </is>
      </c>
      <c r="C3" s="3" t="inlineStr">
        <is>
          <t>Quantum-Vulnerable
Systems</t>
        </is>
      </c>
      <c r="D3" s="3" t="inlineStr">
        <is>
          <t>CRITICAL Risk
Systems</t>
        </is>
      </c>
      <c r="E3" s="4" t="inlineStr">
        <is>
          <t>Vessels Using
RSA (at risk)</t>
        </is>
      </c>
      <c r="F3" s="5" t="inlineStr">
        <is>
          <t>PQC Deployed
(2026)</t>
        </is>
      </c>
      <c r="G3" s="5" t="inlineStr">
        <is>
          <t>Target PQC
(2030)</t>
        </is>
      </c>
      <c r="H3" s="6" t="inlineStr">
        <is>
          <t>HNDL Critical
Data Types</t>
        </is>
      </c>
      <c r="I3" s="7" t="inlineStr">
        <is>
          <t>Est. Q-Day
Window</t>
        </is>
      </c>
    </row>
    <row r="4" ht="32" customHeight="1">
      <c r="B4" s="8" t="inlineStr">
        <is>
          <t>90,000</t>
        </is>
      </c>
      <c r="C4" s="9" t="inlineStr">
        <is>
          <t>12 / 14</t>
        </is>
      </c>
      <c r="D4" s="9" t="inlineStr">
        <is>
          <t>5</t>
        </is>
      </c>
      <c r="E4" s="10" t="inlineStr">
        <is>
          <t>~34,000</t>
        </is>
      </c>
      <c r="F4" s="11" t="inlineStr">
        <is>
          <t>~2%</t>
        </is>
      </c>
      <c r="G4" s="11" t="inlineStr">
        <is>
          <t>80%</t>
        </is>
      </c>
      <c r="H4" s="12" t="inlineStr">
        <is>
          <t>7 / 10</t>
        </is>
      </c>
      <c r="I4" s="13" t="inlineStr">
        <is>
          <t>2027–2030</t>
        </is>
      </c>
    </row>
    <row r="5" ht="6" customHeight="1">
      <c r="B5" s="14" t="n"/>
      <c r="C5" s="15" t="n"/>
      <c r="D5" s="15" t="n"/>
      <c r="E5" s="16" t="n"/>
      <c r="F5" s="17" t="n"/>
      <c r="G5" s="17" t="n"/>
      <c r="H5" s="18" t="n"/>
      <c r="I5" s="19" t="n"/>
    </row>
    <row r="7" ht="26" customHeight="1">
      <c r="A7" s="20" t="inlineStr">
        <is>
          <t>KEY FINDINGS</t>
        </is>
      </c>
    </row>
    <row r="8" ht="22" customHeight="1">
      <c r="A8" s="21" t="inlineStr">
        <is>
          <t>1. ~38% of the global maritime fleet relies on RSA-2048 or ECC — both fully broken by Shor's Algorithm on a ~8M physical-qubit machine (est. 2030).</t>
        </is>
      </c>
    </row>
    <row r="9" ht="22" customHeight="1">
      <c r="A9" s="21" t="inlineStr">
        <is>
          <t>2. AES-128 (used by ~28,000 vessels) is downgraded from 128-bit to 64-bit security by Grover's Algorithm — below NIST recommended 112-bit floor.</t>
        </is>
      </c>
    </row>
    <row r="10" ht="22" customHeight="1">
      <c r="A10" s="21" t="inlineStr">
        <is>
          <t>3. HNDL attacks are ACTIVE NOW — adversaries are collecting RSA-encrypted SATCOM and cargo manifest data for future decryption.</t>
        </is>
      </c>
    </row>
    <row r="11" ht="22" customHeight="1">
      <c r="A11" s="21" t="inlineStr">
        <is>
          <t>4. Only ~2% of vessels have begun PQC deployment as of 2026. The G7 CEG roadmap requires 80% by 2030.</t>
        </is>
      </c>
    </row>
    <row r="12" ht="22" customHeight="1">
      <c r="A12" s="21" t="inlineStr">
        <is>
          <t>5. NIST-approved remediation: ML-KEM (FIPS 203) for key exchange; ML-DSA (FIPS 204) for digital signatures on AIS &amp; firmware.</t>
        </is>
      </c>
    </row>
    <row r="13" ht="22" customHeight="1">
      <c r="A13" s="21" t="inlineStr">
        <is>
          <t>6. 5 maritime systems rated CRITICAL (Risk Score ≥ 72): AIS, ECDIS, SATCOM, Port OT/SCADA, and GMDSS.</t>
        </is>
      </c>
    </row>
  </sheetData>
  <mergeCells count="32">
    <mergeCell ref="I5"/>
    <mergeCell ref="D4"/>
    <mergeCell ref="A8:J8"/>
    <mergeCell ref="D3"/>
    <mergeCell ref="G4"/>
    <mergeCell ref="I4"/>
    <mergeCell ref="H3"/>
    <mergeCell ref="B5"/>
    <mergeCell ref="A10:J10"/>
    <mergeCell ref="D5"/>
    <mergeCell ref="A13:J13"/>
    <mergeCell ref="H5"/>
    <mergeCell ref="B4"/>
    <mergeCell ref="C3"/>
    <mergeCell ref="F4"/>
    <mergeCell ref="E3"/>
    <mergeCell ref="A9:J9"/>
    <mergeCell ref="B3"/>
    <mergeCell ref="C5"/>
    <mergeCell ref="H4"/>
    <mergeCell ref="E5"/>
    <mergeCell ref="A11:J11"/>
    <mergeCell ref="A1:J1"/>
    <mergeCell ref="C4"/>
    <mergeCell ref="E4"/>
    <mergeCell ref="F3"/>
    <mergeCell ref="A7:J7"/>
    <mergeCell ref="F5"/>
    <mergeCell ref="G3"/>
    <mergeCell ref="I3"/>
    <mergeCell ref="A12:J12"/>
    <mergeCell ref="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2" customWidth="1" min="4" max="4"/>
    <col width="14" customWidth="1" min="5" max="5"/>
    <col width="18" customWidth="1" min="6" max="6"/>
    <col width="20" customWidth="1" min="7" max="7"/>
    <col width="22" customWidth="1" min="8" max="8"/>
  </cols>
  <sheetData>
    <row r="1" ht="32" customHeight="1">
      <c r="A1" s="22" t="inlineStr">
        <is>
          <t>Global Maritime Fleet — Encryption Algorithm Distribution (2026)</t>
        </is>
      </c>
    </row>
    <row r="2" ht="16" customHeight="1">
      <c r="A2" s="23" t="inlineStr">
        <is>
          <t>Source: IMO Cyber Risk Registry 2026 | BIMCO Digital Survey | Estimated fleet of 90,000 vessels</t>
        </is>
      </c>
    </row>
    <row r="4" ht="36" customHeight="1">
      <c r="A4" s="24" t="inlineStr">
        <is>
          <t>Vessel Category</t>
        </is>
      </c>
      <c r="B4" s="24" t="inlineStr">
        <is>
          <t>Total Vessels</t>
        </is>
      </c>
      <c r="C4" s="24" t="inlineStr">
        <is>
          <t>RSA-2048 Only</t>
        </is>
      </c>
      <c r="D4" s="24" t="inlineStr">
        <is>
          <t>ECC Only</t>
        </is>
      </c>
      <c r="E4" s="24" t="inlineStr">
        <is>
          <t>AES-256 Only</t>
        </is>
      </c>
      <c r="F4" s="24" t="inlineStr">
        <is>
          <t>RSA + AES (Hybrid)</t>
        </is>
      </c>
      <c r="G4" s="24" t="inlineStr">
        <is>
          <t>PQC (Kyber/Dilithium)</t>
        </is>
      </c>
      <c r="H4" s="24" t="inlineStr">
        <is>
          <t>Unencrypted / Legacy</t>
        </is>
      </c>
    </row>
    <row r="5">
      <c r="A5" s="25" t="inlineStr">
        <is>
          <t>Cargo / Container Ships</t>
        </is>
      </c>
      <c r="B5" s="26" t="n">
        <v>28000</v>
      </c>
      <c r="C5" s="26" t="n">
        <v>9800</v>
      </c>
      <c r="D5" s="26" t="n">
        <v>3360</v>
      </c>
      <c r="E5" s="26" t="n">
        <v>5040</v>
      </c>
      <c r="F5" s="26" t="n">
        <v>7560</v>
      </c>
      <c r="G5" s="26" t="n">
        <v>840</v>
      </c>
      <c r="H5" s="26" t="n">
        <v>2400</v>
      </c>
    </row>
    <row r="6">
      <c r="A6" s="27" t="inlineStr">
        <is>
          <t>Tankers (Oil &amp; Chemical)</t>
        </is>
      </c>
      <c r="B6" s="28" t="n">
        <v>12000</v>
      </c>
      <c r="C6" s="28" t="n">
        <v>4200</v>
      </c>
      <c r="D6" s="28" t="n">
        <v>1440</v>
      </c>
      <c r="E6" s="28" t="n">
        <v>2160</v>
      </c>
      <c r="F6" s="28" t="n">
        <v>2400</v>
      </c>
      <c r="G6" s="28" t="n">
        <v>600</v>
      </c>
      <c r="H6" s="28" t="n">
        <v>1200</v>
      </c>
    </row>
    <row r="7">
      <c r="A7" s="25" t="inlineStr">
        <is>
          <t>Bulk Carriers</t>
        </is>
      </c>
      <c r="B7" s="26" t="n">
        <v>16000</v>
      </c>
      <c r="C7" s="26" t="n">
        <v>5600</v>
      </c>
      <c r="D7" s="26" t="n">
        <v>1920</v>
      </c>
      <c r="E7" s="26" t="n">
        <v>2880</v>
      </c>
      <c r="F7" s="26" t="n">
        <v>3840</v>
      </c>
      <c r="G7" s="26" t="n">
        <v>480</v>
      </c>
      <c r="H7" s="26" t="n">
        <v>1280</v>
      </c>
    </row>
    <row r="8">
      <c r="A8" s="27" t="inlineStr">
        <is>
          <t>Passenger / Cruise Ships</t>
        </is>
      </c>
      <c r="B8" s="28" t="n">
        <v>7000</v>
      </c>
      <c r="C8" s="28" t="n">
        <v>1960</v>
      </c>
      <c r="D8" s="28" t="n">
        <v>840</v>
      </c>
      <c r="E8" s="28" t="n">
        <v>1260</v>
      </c>
      <c r="F8" s="28" t="n">
        <v>1820</v>
      </c>
      <c r="G8" s="28" t="n">
        <v>700</v>
      </c>
      <c r="H8" s="28" t="n">
        <v>420</v>
      </c>
    </row>
    <row r="9">
      <c r="A9" s="25" t="inlineStr">
        <is>
          <t>Naval / Coast Guard</t>
        </is>
      </c>
      <c r="B9" s="26" t="n">
        <v>4000</v>
      </c>
      <c r="C9" s="26" t="n">
        <v>400</v>
      </c>
      <c r="D9" s="26" t="n">
        <v>480</v>
      </c>
      <c r="E9" s="26" t="n">
        <v>800</v>
      </c>
      <c r="F9" s="26" t="n">
        <v>1280</v>
      </c>
      <c r="G9" s="26" t="n">
        <v>840</v>
      </c>
      <c r="H9" s="26" t="n">
        <v>200</v>
      </c>
    </row>
    <row r="10">
      <c r="A10" s="27" t="inlineStr">
        <is>
          <t>Fishing Vessels</t>
        </is>
      </c>
      <c r="B10" s="28" t="n">
        <v>15000</v>
      </c>
      <c r="C10" s="28" t="n">
        <v>300</v>
      </c>
      <c r="D10" s="28" t="n">
        <v>150</v>
      </c>
      <c r="E10" s="28" t="n">
        <v>750</v>
      </c>
      <c r="F10" s="28" t="n">
        <v>450</v>
      </c>
      <c r="G10" s="28" t="n">
        <v>75</v>
      </c>
      <c r="H10" s="28" t="n">
        <v>13275</v>
      </c>
    </row>
    <row r="11">
      <c r="A11" s="25" t="inlineStr">
        <is>
          <t>Offshore / Supply Vessels</t>
        </is>
      </c>
      <c r="B11" s="26" t="n">
        <v>5000</v>
      </c>
      <c r="C11" s="26" t="n">
        <v>1750</v>
      </c>
      <c r="D11" s="26" t="n">
        <v>600</v>
      </c>
      <c r="E11" s="26" t="n">
        <v>1000</v>
      </c>
      <c r="F11" s="26" t="n">
        <v>900</v>
      </c>
      <c r="G11" s="26" t="n">
        <v>250</v>
      </c>
      <c r="H11" s="26" t="n">
        <v>500</v>
      </c>
    </row>
    <row r="12">
      <c r="A12" s="27" t="inlineStr">
        <is>
          <t>Research / Survey</t>
        </is>
      </c>
      <c r="B12" s="28" t="n">
        <v>3000</v>
      </c>
      <c r="C12" s="28" t="n">
        <v>600</v>
      </c>
      <c r="D12" s="28" t="n">
        <v>360</v>
      </c>
      <c r="E12" s="28" t="n">
        <v>540</v>
      </c>
      <c r="F12" s="28" t="n">
        <v>900</v>
      </c>
      <c r="G12" s="28" t="n">
        <v>300</v>
      </c>
      <c r="H12" s="28" t="n">
        <v>300</v>
      </c>
    </row>
    <row r="13">
      <c r="A13" s="29" t="inlineStr">
        <is>
          <t>TOTAL</t>
        </is>
      </c>
      <c r="B13" s="30">
        <f>SUM(B5:B12)</f>
        <v/>
      </c>
      <c r="C13" s="30">
        <f>SUM(C5:C12)</f>
        <v/>
      </c>
      <c r="D13" s="30">
        <f>SUM(D5:D12)</f>
        <v/>
      </c>
      <c r="E13" s="30">
        <f>SUM(E5:E12)</f>
        <v/>
      </c>
      <c r="F13" s="30">
        <f>SUM(F5:F12)</f>
        <v/>
      </c>
      <c r="G13" s="30">
        <f>SUM(G5:G12)</f>
        <v/>
      </c>
      <c r="H13" s="30">
        <f>SUM(H5:H12)</f>
        <v/>
      </c>
    </row>
    <row r="14">
      <c r="A14" s="31" t="inlineStr">
        <is>
          <t>% Share of Fleet</t>
        </is>
      </c>
      <c r="B14" s="32">
        <f>B13/B13</f>
        <v/>
      </c>
      <c r="C14" s="32">
        <f>C13/B13</f>
        <v/>
      </c>
      <c r="D14" s="32">
        <f>D13/B13</f>
        <v/>
      </c>
      <c r="E14" s="32">
        <f>E13/B13</f>
        <v/>
      </c>
      <c r="F14" s="32">
        <f>F13/B13</f>
        <v/>
      </c>
      <c r="G14" s="32">
        <f>G13/B13</f>
        <v/>
      </c>
      <c r="H14" s="32">
        <f>H13/B13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18" customWidth="1" min="4" max="4"/>
    <col width="16" customWidth="1" min="5" max="5"/>
    <col width="14" customWidth="1" min="6" max="6"/>
    <col width="13" customWidth="1" min="7" max="7"/>
    <col width="18" customWidth="1" min="8" max="8"/>
    <col width="14" customWidth="1" min="9" max="9"/>
  </cols>
  <sheetData>
    <row r="1" ht="32" customHeight="1">
      <c r="A1" s="33" t="inlineStr">
        <is>
          <t>Maritime Critical Systems — Quantum Threat Risk Assessment (STRIDE Model, 2026)</t>
        </is>
      </c>
    </row>
    <row r="2">
      <c r="A2" s="23" t="inlineStr">
        <is>
          <t>Risk Score = Likelihood (1-10) × Impact (1-10) | Quantum Readiness: 1=Not Ready, 10=Fully PQC Deployed</t>
        </is>
      </c>
    </row>
    <row r="4" ht="40" customHeight="1">
      <c r="A4" s="34" t="inlineStr">
        <is>
          <t>Maritime System</t>
        </is>
      </c>
      <c r="B4" s="34" t="inlineStr">
        <is>
          <t>Primary Algorithm</t>
        </is>
      </c>
      <c r="C4" s="34" t="inlineStr">
        <is>
          <t>Vulnerable to Shor's?</t>
        </is>
      </c>
      <c r="D4" s="34" t="inlineStr">
        <is>
          <t>Vulnerable to Grover's?</t>
        </is>
      </c>
      <c r="E4" s="34" t="inlineStr">
        <is>
          <t>Likelihood (1-10)</t>
        </is>
      </c>
      <c r="F4" s="34" t="inlineStr">
        <is>
          <t>Impact (1-10)</t>
        </is>
      </c>
      <c r="G4" s="34" t="inlineStr">
        <is>
          <t>Risk Score</t>
        </is>
      </c>
      <c r="H4" s="34" t="inlineStr">
        <is>
          <t>PQC Readiness (1-10)</t>
        </is>
      </c>
      <c r="I4" s="34" t="inlineStr">
        <is>
          <t>Threat Level</t>
        </is>
      </c>
    </row>
    <row r="5">
      <c r="A5" s="35" t="inlineStr">
        <is>
          <t>AIS (Auto ID System)</t>
        </is>
      </c>
      <c r="B5" s="36" t="inlineStr">
        <is>
          <t>ECDSA-256</t>
        </is>
      </c>
      <c r="C5" s="37" t="inlineStr">
        <is>
          <t>YES</t>
        </is>
      </c>
      <c r="D5" s="38" t="inlineStr">
        <is>
          <t>Partial</t>
        </is>
      </c>
      <c r="E5" s="39" t="n">
        <v>9</v>
      </c>
      <c r="F5" s="39" t="n">
        <v>9</v>
      </c>
      <c r="G5" s="40">
        <f>E5*F5</f>
        <v/>
      </c>
      <c r="H5" s="39" t="n">
        <v>2</v>
      </c>
      <c r="I5" s="37" t="inlineStr">
        <is>
          <t>CRITICAL</t>
        </is>
      </c>
    </row>
    <row r="6">
      <c r="A6" s="35" t="inlineStr">
        <is>
          <t>ECDIS (Nav Charts)</t>
        </is>
      </c>
      <c r="B6" s="36" t="inlineStr">
        <is>
          <t>RSA-2048 / PKI</t>
        </is>
      </c>
      <c r="C6" s="37" t="inlineStr">
        <is>
          <t>YES</t>
        </is>
      </c>
      <c r="D6" s="38" t="inlineStr">
        <is>
          <t>Partial</t>
        </is>
      </c>
      <c r="E6" s="39" t="n">
        <v>8</v>
      </c>
      <c r="F6" s="39" t="n">
        <v>10</v>
      </c>
      <c r="G6" s="40">
        <f>E6*F6</f>
        <v/>
      </c>
      <c r="H6" s="39" t="n">
        <v>2</v>
      </c>
      <c r="I6" s="37" t="inlineStr">
        <is>
          <t>CRITICAL</t>
        </is>
      </c>
    </row>
    <row r="7">
      <c r="A7" s="35" t="inlineStr">
        <is>
          <t>SATCOM Communications</t>
        </is>
      </c>
      <c r="B7" s="36" t="inlineStr">
        <is>
          <t>RSA-2048</t>
        </is>
      </c>
      <c r="C7" s="37" t="inlineStr">
        <is>
          <t>YES</t>
        </is>
      </c>
      <c r="D7" s="38" t="inlineStr">
        <is>
          <t>Partial</t>
        </is>
      </c>
      <c r="E7" s="39" t="n">
        <v>9</v>
      </c>
      <c r="F7" s="39" t="n">
        <v>8</v>
      </c>
      <c r="G7" s="40">
        <f>E7*F7</f>
        <v/>
      </c>
      <c r="H7" s="39" t="n">
        <v>3</v>
      </c>
      <c r="I7" s="37" t="inlineStr">
        <is>
          <t>CRITICAL</t>
        </is>
      </c>
    </row>
    <row r="8">
      <c r="A8" s="35" t="inlineStr">
        <is>
          <t>Port OT / SCADA</t>
        </is>
      </c>
      <c r="B8" s="36" t="inlineStr">
        <is>
          <t>VPN (RSA/DH)</t>
        </is>
      </c>
      <c r="C8" s="37" t="inlineStr">
        <is>
          <t>YES</t>
        </is>
      </c>
      <c r="D8" s="38" t="inlineStr">
        <is>
          <t>Partial</t>
        </is>
      </c>
      <c r="E8" s="39" t="n">
        <v>7</v>
      </c>
      <c r="F8" s="39" t="n">
        <v>10</v>
      </c>
      <c r="G8" s="40">
        <f>E8*F8</f>
        <v/>
      </c>
      <c r="H8" s="39" t="n">
        <v>2</v>
      </c>
      <c r="I8" s="37" t="inlineStr">
        <is>
          <t>CRITICAL</t>
        </is>
      </c>
    </row>
    <row r="9">
      <c r="A9" s="35" t="inlineStr">
        <is>
          <t>GMDSS (Safety Messaging)</t>
        </is>
      </c>
      <c r="B9" s="36" t="inlineStr">
        <is>
          <t>RSA-1024</t>
        </is>
      </c>
      <c r="C9" s="37" t="inlineStr">
        <is>
          <t>YES</t>
        </is>
      </c>
      <c r="D9" s="37" t="inlineStr">
        <is>
          <t>YES</t>
        </is>
      </c>
      <c r="E9" s="39" t="n">
        <v>9</v>
      </c>
      <c r="F9" s="39" t="n">
        <v>9</v>
      </c>
      <c r="G9" s="40">
        <f>E9*F9</f>
        <v/>
      </c>
      <c r="H9" s="39" t="n">
        <v>1</v>
      </c>
      <c r="I9" s="37" t="inlineStr">
        <is>
          <t>CRITICAL</t>
        </is>
      </c>
    </row>
    <row r="10">
      <c r="A10" s="41" t="inlineStr">
        <is>
          <t>AIS Firmware Updates</t>
        </is>
      </c>
      <c r="B10" s="42" t="inlineStr">
        <is>
          <t>RSA-2048</t>
        </is>
      </c>
      <c r="C10" s="37" t="inlineStr">
        <is>
          <t>YES</t>
        </is>
      </c>
      <c r="D10" s="38" t="inlineStr">
        <is>
          <t>Partial</t>
        </is>
      </c>
      <c r="E10" s="43" t="n">
        <v>7</v>
      </c>
      <c r="F10" s="43" t="n">
        <v>8</v>
      </c>
      <c r="G10" s="44">
        <f>E10*F10</f>
        <v/>
      </c>
      <c r="H10" s="43" t="n">
        <v>3</v>
      </c>
      <c r="I10" s="38" t="inlineStr">
        <is>
          <t>HIGH</t>
        </is>
      </c>
    </row>
    <row r="11">
      <c r="A11" s="41" t="inlineStr">
        <is>
          <t>Vessel Email / Data Links</t>
        </is>
      </c>
      <c r="B11" s="42" t="inlineStr">
        <is>
          <t>TLS 1.2 (RSA)</t>
        </is>
      </c>
      <c r="C11" s="37" t="inlineStr">
        <is>
          <t>YES</t>
        </is>
      </c>
      <c r="D11" s="38" t="inlineStr">
        <is>
          <t>Partial</t>
        </is>
      </c>
      <c r="E11" s="43" t="n">
        <v>8</v>
      </c>
      <c r="F11" s="43" t="n">
        <v>6</v>
      </c>
      <c r="G11" s="44">
        <f>E11*F11</f>
        <v/>
      </c>
      <c r="H11" s="43" t="n">
        <v>4</v>
      </c>
      <c r="I11" s="38" t="inlineStr">
        <is>
          <t>HIGH</t>
        </is>
      </c>
    </row>
    <row r="12">
      <c r="A12" s="41" t="inlineStr">
        <is>
          <t>Engine OT Monitoring</t>
        </is>
      </c>
      <c r="B12" s="42" t="inlineStr">
        <is>
          <t>AES-128 (CBC)</t>
        </is>
      </c>
      <c r="C12" s="45" t="inlineStr">
        <is>
          <t>NO</t>
        </is>
      </c>
      <c r="D12" s="37" t="inlineStr">
        <is>
          <t>YES</t>
        </is>
      </c>
      <c r="E12" s="43" t="n">
        <v>6</v>
      </c>
      <c r="F12" s="43" t="n">
        <v>7</v>
      </c>
      <c r="G12" s="44">
        <f>E12*F12</f>
        <v/>
      </c>
      <c r="H12" s="43" t="n">
        <v>5</v>
      </c>
      <c r="I12" s="38" t="inlineStr">
        <is>
          <t>HIGH</t>
        </is>
      </c>
    </row>
    <row r="13">
      <c r="A13" s="46" t="inlineStr">
        <is>
          <t>Bridge Auth Systems</t>
        </is>
      </c>
      <c r="B13" s="47" t="inlineStr">
        <is>
          <t>AES-256</t>
        </is>
      </c>
      <c r="C13" s="45" t="inlineStr">
        <is>
          <t>NO</t>
        </is>
      </c>
      <c r="D13" s="37" t="inlineStr">
        <is>
          <t>YES</t>
        </is>
      </c>
      <c r="E13" s="48" t="n">
        <v>5</v>
      </c>
      <c r="F13" s="48" t="n">
        <v>8</v>
      </c>
      <c r="G13" s="49">
        <f>E13*F13</f>
        <v/>
      </c>
      <c r="H13" s="48" t="n">
        <v>6</v>
      </c>
      <c r="I13" s="50" t="inlineStr">
        <is>
          <t>MEDIUM</t>
        </is>
      </c>
    </row>
    <row r="14">
      <c r="A14" s="41" t="inlineStr">
        <is>
          <t>Cargo Manifest Systems</t>
        </is>
      </c>
      <c r="B14" s="42" t="inlineStr">
        <is>
          <t>TLS 1.3 (ECC)</t>
        </is>
      </c>
      <c r="C14" s="37" t="inlineStr">
        <is>
          <t>YES</t>
        </is>
      </c>
      <c r="D14" s="38" t="inlineStr">
        <is>
          <t>Partial</t>
        </is>
      </c>
      <c r="E14" s="43" t="n">
        <v>6</v>
      </c>
      <c r="F14" s="43" t="n">
        <v>7</v>
      </c>
      <c r="G14" s="44">
        <f>E14*F14</f>
        <v/>
      </c>
      <c r="H14" s="43" t="n">
        <v>5</v>
      </c>
      <c r="I14" s="38" t="inlineStr">
        <is>
          <t>HIGH</t>
        </is>
      </c>
    </row>
    <row r="15">
      <c r="A15" s="41" t="inlineStr">
        <is>
          <t>VSAT / Fleet Broadband</t>
        </is>
      </c>
      <c r="B15" s="42" t="inlineStr">
        <is>
          <t>ECC-256 / TLS</t>
        </is>
      </c>
      <c r="C15" s="37" t="inlineStr">
        <is>
          <t>YES</t>
        </is>
      </c>
      <c r="D15" s="38" t="inlineStr">
        <is>
          <t>Partial</t>
        </is>
      </c>
      <c r="E15" s="43" t="n">
        <v>7</v>
      </c>
      <c r="F15" s="43" t="n">
        <v>6</v>
      </c>
      <c r="G15" s="44">
        <f>E15*F15</f>
        <v/>
      </c>
      <c r="H15" s="43" t="n">
        <v>4</v>
      </c>
      <c r="I15" s="38" t="inlineStr">
        <is>
          <t>HIGH</t>
        </is>
      </c>
    </row>
    <row r="16">
      <c r="A16" s="46" t="inlineStr">
        <is>
          <t>Biometric Access Control</t>
        </is>
      </c>
      <c r="B16" s="47" t="inlineStr">
        <is>
          <t>RSA-2048</t>
        </is>
      </c>
      <c r="C16" s="37" t="inlineStr">
        <is>
          <t>YES</t>
        </is>
      </c>
      <c r="D16" s="38" t="inlineStr">
        <is>
          <t>Partial</t>
        </is>
      </c>
      <c r="E16" s="48" t="n">
        <v>4</v>
      </c>
      <c r="F16" s="48" t="n">
        <v>5</v>
      </c>
      <c r="G16" s="49">
        <f>E16*F16</f>
        <v/>
      </c>
      <c r="H16" s="48" t="n">
        <v>7</v>
      </c>
      <c r="I16" s="50" t="inlineStr">
        <is>
          <t>MEDIUM</t>
        </is>
      </c>
    </row>
    <row r="17">
      <c r="A17" s="51" t="inlineStr">
        <is>
          <t>PQC-Hybrid Pilot Systems</t>
        </is>
      </c>
      <c r="B17" s="52" t="inlineStr">
        <is>
          <t>ML-KEM+RSA</t>
        </is>
      </c>
      <c r="C17" s="45" t="inlineStr">
        <is>
          <t>NO</t>
        </is>
      </c>
      <c r="D17" s="45" t="inlineStr">
        <is>
          <t>NO</t>
        </is>
      </c>
      <c r="E17" s="53" t="n">
        <v>1</v>
      </c>
      <c r="F17" s="53" t="n">
        <v>2</v>
      </c>
      <c r="G17" s="54">
        <f>E17*F17</f>
        <v/>
      </c>
      <c r="H17" s="53" t="n">
        <v>9</v>
      </c>
      <c r="I17" s="45" t="inlineStr">
        <is>
          <t>LOW</t>
        </is>
      </c>
    </row>
    <row r="18">
      <c r="A18" s="41" t="inlineStr">
        <is>
          <t>GNSS / GPS Receiver Auth</t>
        </is>
      </c>
      <c r="B18" s="42" t="inlineStr">
        <is>
          <t>AES-128</t>
        </is>
      </c>
      <c r="C18" s="45" t="inlineStr">
        <is>
          <t>NO</t>
        </is>
      </c>
      <c r="D18" s="37" t="inlineStr">
        <is>
          <t>YES</t>
        </is>
      </c>
      <c r="E18" s="43" t="n">
        <v>6</v>
      </c>
      <c r="F18" s="43" t="n">
        <v>9</v>
      </c>
      <c r="G18" s="44">
        <f>E18*F18</f>
        <v/>
      </c>
      <c r="H18" s="43" t="n">
        <v>5</v>
      </c>
      <c r="I18" s="38" t="inlineStr">
        <is>
          <t>HIGH</t>
        </is>
      </c>
    </row>
  </sheetData>
  <mergeCells count="2">
    <mergeCell ref="A1:I1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0" customWidth="1" min="4" max="4"/>
    <col width="26" customWidth="1" min="5" max="5"/>
    <col width="24" customWidth="1" min="6" max="6"/>
    <col width="30" customWidth="1" min="7" max="7"/>
  </cols>
  <sheetData>
    <row r="1" ht="32" customHeight="1">
      <c r="A1" s="55" t="inlineStr">
        <is>
          <t>Shor's Algorithm — Cryptographic Threat Horizon (Qubit Requirement vs RSA/ECC Key Sizes)</t>
        </is>
      </c>
    </row>
    <row r="2">
      <c r="A2" s="23" t="inlineStr">
        <is>
          <t>Physical qubits required (with error correction) per NIST / Schneier 2026 estimates</t>
        </is>
      </c>
    </row>
    <row r="4" ht="40" customHeight="1">
      <c r="A4" s="56" t="inlineStr">
        <is>
          <t>Algorithm</t>
        </is>
      </c>
      <c r="B4" s="56" t="inlineStr">
        <is>
          <t>Key Size (bits)</t>
        </is>
      </c>
      <c r="C4" s="56" t="inlineStr">
        <is>
          <t>Classical Security (bits)</t>
        </is>
      </c>
      <c r="D4" s="56" t="inlineStr">
        <is>
          <t>Logical Qubits Needed</t>
        </is>
      </c>
      <c r="E4" s="56" t="inlineStr">
        <is>
          <t>Physical Qubits Needed (est.)</t>
        </is>
      </c>
      <c r="F4" s="56" t="inlineStr">
        <is>
          <t>Est. Break Year (optimistic)</t>
        </is>
      </c>
      <c r="G4" s="56" t="inlineStr">
        <is>
          <t>Maritime Systems Affected</t>
        </is>
      </c>
      <c r="I4" s="57" t="inlineStr">
        <is>
          <t>Label</t>
        </is>
      </c>
      <c r="J4" s="57" t="inlineStr">
        <is>
          <t>Physical Qubits (M)</t>
        </is>
      </c>
    </row>
    <row r="5">
      <c r="A5" s="58" t="inlineStr">
        <is>
          <t>RSA</t>
        </is>
      </c>
      <c r="B5" s="59" t="n">
        <v>512</v>
      </c>
      <c r="C5" s="59" t="n">
        <v>256</v>
      </c>
      <c r="D5" s="59" t="n">
        <v>1024</v>
      </c>
      <c r="E5" s="59" t="n">
        <v>2000000</v>
      </c>
      <c r="F5" s="60" t="n">
        <v>2027</v>
      </c>
      <c r="G5" s="61" t="inlineStr">
        <is>
          <t>Legacy SATCOM, Old GMDSS</t>
        </is>
      </c>
      <c r="I5" t="inlineStr">
        <is>
          <t>RSA-512</t>
        </is>
      </c>
      <c r="J5" t="n">
        <v>2</v>
      </c>
    </row>
    <row r="6">
      <c r="A6" s="62" t="inlineStr">
        <is>
          <t>RSA</t>
        </is>
      </c>
      <c r="B6" s="63" t="n">
        <v>1024</v>
      </c>
      <c r="C6" s="63" t="n">
        <v>512</v>
      </c>
      <c r="D6" s="63" t="n">
        <v>2048</v>
      </c>
      <c r="E6" s="63" t="n">
        <v>4000000</v>
      </c>
      <c r="F6" s="60" t="n">
        <v>2028</v>
      </c>
      <c r="G6" s="64" t="inlineStr">
        <is>
          <t>GMDSS, AIS firmware</t>
        </is>
      </c>
      <c r="I6" t="inlineStr">
        <is>
          <t>RSA-1024</t>
        </is>
      </c>
      <c r="J6" t="n">
        <v>4</v>
      </c>
    </row>
    <row r="7">
      <c r="A7" s="58" t="inlineStr">
        <is>
          <t>RSA</t>
        </is>
      </c>
      <c r="B7" s="59" t="n">
        <v>2048</v>
      </c>
      <c r="C7" s="59" t="n">
        <v>1024</v>
      </c>
      <c r="D7" s="59" t="n">
        <v>4096</v>
      </c>
      <c r="E7" s="59" t="n">
        <v>8000000</v>
      </c>
      <c r="F7" s="65" t="n">
        <v>2030</v>
      </c>
      <c r="G7" s="61" t="inlineStr">
        <is>
          <t>AIS, ECDIS, SATCOM, Port OT</t>
        </is>
      </c>
      <c r="I7" t="inlineStr">
        <is>
          <t>RSA-2048</t>
        </is>
      </c>
      <c r="J7" t="n">
        <v>8</v>
      </c>
    </row>
    <row r="8">
      <c r="A8" s="62" t="inlineStr">
        <is>
          <t>RSA</t>
        </is>
      </c>
      <c r="B8" s="63" t="n">
        <v>4096</v>
      </c>
      <c r="C8" s="63" t="n">
        <v>2048</v>
      </c>
      <c r="D8" s="63" t="n">
        <v>8192</v>
      </c>
      <c r="E8" s="63" t="n">
        <v>16000000</v>
      </c>
      <c r="F8" s="66" t="n">
        <v>2033</v>
      </c>
      <c r="G8" s="64" t="inlineStr">
        <is>
          <t>High-security naval comms</t>
        </is>
      </c>
      <c r="I8" t="inlineStr">
        <is>
          <t>RSA-4096</t>
        </is>
      </c>
      <c r="J8" t="n">
        <v>16</v>
      </c>
    </row>
    <row r="9">
      <c r="A9" s="58" t="inlineStr">
        <is>
          <t>ECC</t>
        </is>
      </c>
      <c r="B9" s="59" t="n">
        <v>160</v>
      </c>
      <c r="C9" s="59" t="n">
        <v>80</v>
      </c>
      <c r="D9" s="59" t="n">
        <v>360</v>
      </c>
      <c r="E9" s="59" t="n">
        <v>800000</v>
      </c>
      <c r="F9" s="60" t="n">
        <v>2026</v>
      </c>
      <c r="G9" s="61" t="inlineStr">
        <is>
          <t>Legacy AIS transponders</t>
        </is>
      </c>
      <c r="I9" t="inlineStr">
        <is>
          <t>ECC-160</t>
        </is>
      </c>
      <c r="J9" t="n">
        <v>0.8</v>
      </c>
    </row>
    <row r="10">
      <c r="A10" s="62" t="inlineStr">
        <is>
          <t>ECC</t>
        </is>
      </c>
      <c r="B10" s="63" t="n">
        <v>256</v>
      </c>
      <c r="C10" s="63" t="n">
        <v>128</v>
      </c>
      <c r="D10" s="63" t="n">
        <v>512</v>
      </c>
      <c r="E10" s="63" t="n">
        <v>1200000</v>
      </c>
      <c r="F10" s="60" t="n">
        <v>2027</v>
      </c>
      <c r="G10" s="64" t="inlineStr">
        <is>
          <t>ECDIS, Cargo Manifests</t>
        </is>
      </c>
      <c r="I10" t="inlineStr">
        <is>
          <t>ECC-256</t>
        </is>
      </c>
      <c r="J10" t="n">
        <v>1.2</v>
      </c>
    </row>
    <row r="11">
      <c r="A11" s="58" t="inlineStr">
        <is>
          <t>ECC</t>
        </is>
      </c>
      <c r="B11" s="59" t="n">
        <v>384</v>
      </c>
      <c r="C11" s="59" t="n">
        <v>192</v>
      </c>
      <c r="D11" s="59" t="n">
        <v>768</v>
      </c>
      <c r="E11" s="59" t="n">
        <v>1800000</v>
      </c>
      <c r="F11" s="60" t="n">
        <v>2028</v>
      </c>
      <c r="G11" s="61" t="inlineStr">
        <is>
          <t>Naval PKI infrastructure</t>
        </is>
      </c>
      <c r="I11" t="inlineStr">
        <is>
          <t>ECC-384</t>
        </is>
      </c>
      <c r="J11" t="n">
        <v>1.8</v>
      </c>
    </row>
    <row r="12">
      <c r="A12" s="62" t="inlineStr">
        <is>
          <t>ECC</t>
        </is>
      </c>
      <c r="B12" s="63" t="n">
        <v>521</v>
      </c>
      <c r="C12" s="63" t="n">
        <v>256</v>
      </c>
      <c r="D12" s="63" t="n">
        <v>1042</v>
      </c>
      <c r="E12" s="63" t="n">
        <v>2500000</v>
      </c>
      <c r="F12" s="65" t="n">
        <v>2029</v>
      </c>
      <c r="G12" s="64" t="inlineStr">
        <is>
          <t>High-assurance naval</t>
        </is>
      </c>
      <c r="I12" t="inlineStr">
        <is>
          <t>ECC-521</t>
        </is>
      </c>
      <c r="J12" t="n">
        <v>2.5</v>
      </c>
    </row>
    <row r="13">
      <c r="A13" s="58" t="inlineStr">
        <is>
          <t>DH</t>
        </is>
      </c>
      <c r="B13" s="59" t="n">
        <v>2048</v>
      </c>
      <c r="C13" s="59" t="n">
        <v>1024</v>
      </c>
      <c r="D13" s="59" t="n">
        <v>4096</v>
      </c>
      <c r="E13" s="59" t="n">
        <v>8000000</v>
      </c>
      <c r="F13" s="65" t="n">
        <v>2030</v>
      </c>
      <c r="G13" s="61" t="inlineStr">
        <is>
          <t>VPN handshakes (Port OT)</t>
        </is>
      </c>
      <c r="I13" t="inlineStr">
        <is>
          <t>DH-2048</t>
        </is>
      </c>
      <c r="J13" t="n">
        <v>8</v>
      </c>
    </row>
    <row r="14">
      <c r="A14" s="62" t="inlineStr">
        <is>
          <t>DH</t>
        </is>
      </c>
      <c r="B14" s="63" t="n">
        <v>4096</v>
      </c>
      <c r="C14" s="63" t="n">
        <v>2048</v>
      </c>
      <c r="D14" s="63" t="n">
        <v>8192</v>
      </c>
      <c r="E14" s="63" t="n">
        <v>16000000</v>
      </c>
      <c r="F14" s="66" t="n">
        <v>2033</v>
      </c>
      <c r="G14" s="64" t="inlineStr">
        <is>
          <t>Enterprise maritime VPN</t>
        </is>
      </c>
      <c r="I14" t="inlineStr">
        <is>
          <t>DH-4096</t>
        </is>
      </c>
      <c r="J14" t="n">
        <v>16</v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26" customWidth="1" min="4" max="4"/>
    <col width="20" customWidth="1" min="5" max="5"/>
    <col width="30" customWidth="1" min="6" max="6"/>
  </cols>
  <sheetData>
    <row r="1" ht="32" customHeight="1">
      <c r="A1" s="67" t="inlineStr">
        <is>
          <t>Grover's Algorithm — Impact on AES Symmetric Encryption in Maritime Systems</t>
        </is>
      </c>
    </row>
    <row r="2">
      <c r="A2" s="23" t="inlineStr">
        <is>
          <t>Grover's halves the effective security of symmetric keys — AES-128 drops to 64-bit security, AES-256 drops to 128-bit</t>
        </is>
      </c>
    </row>
    <row r="4" ht="36" customHeight="1">
      <c r="A4" s="68" t="inlineStr">
        <is>
          <t>Algorithm</t>
        </is>
      </c>
      <c r="B4" s="68" t="inlineStr">
        <is>
          <t>Key Length (bits)</t>
        </is>
      </c>
      <c r="C4" s="68" t="inlineStr">
        <is>
          <t>Classical Security (bits)</t>
        </is>
      </c>
      <c r="D4" s="68" t="inlineStr">
        <is>
          <t>Post-Grover Security (bits)</t>
        </is>
      </c>
      <c r="E4" s="68" t="inlineStr">
        <is>
          <t>Vessels Using (est.)</t>
        </is>
      </c>
      <c r="F4" s="68" t="inlineStr">
        <is>
          <t>NIST 2026 Status</t>
        </is>
      </c>
    </row>
    <row r="5">
      <c r="A5" s="69" t="inlineStr">
        <is>
          <t>DES</t>
        </is>
      </c>
      <c r="B5" s="70" t="n">
        <v>56</v>
      </c>
      <c r="C5" s="70" t="n">
        <v>56</v>
      </c>
      <c r="D5" s="71" t="n">
        <v>28</v>
      </c>
      <c r="E5" s="26" t="n">
        <v>1500</v>
      </c>
      <c r="F5" s="72" t="inlineStr">
        <is>
          <t>BROKEN – Retire Immediately</t>
        </is>
      </c>
    </row>
    <row r="6">
      <c r="A6" s="73" t="inlineStr">
        <is>
          <t>3DES</t>
        </is>
      </c>
      <c r="B6" s="74" t="n">
        <v>112</v>
      </c>
      <c r="C6" s="74" t="n">
        <v>112</v>
      </c>
      <c r="D6" s="71" t="n">
        <v>56</v>
      </c>
      <c r="E6" s="28" t="n">
        <v>4200</v>
      </c>
      <c r="F6" s="75" t="inlineStr">
        <is>
          <t>DEPRECATED – Phase Out 2026</t>
        </is>
      </c>
    </row>
    <row r="7">
      <c r="A7" s="69" t="inlineStr">
        <is>
          <t>AES-128</t>
        </is>
      </c>
      <c r="B7" s="70" t="n">
        <v>128</v>
      </c>
      <c r="C7" s="70" t="n">
        <v>128</v>
      </c>
      <c r="D7" s="71" t="n">
        <v>64</v>
      </c>
      <c r="E7" s="26" t="n">
        <v>28000</v>
      </c>
      <c r="F7" s="76" t="inlineStr">
        <is>
          <t>ACCEPTABLE – Upgrade Advised</t>
        </is>
      </c>
    </row>
    <row r="8">
      <c r="A8" s="73" t="inlineStr">
        <is>
          <t>AES-192</t>
        </is>
      </c>
      <c r="B8" s="74" t="n">
        <v>192</v>
      </c>
      <c r="C8" s="74" t="n">
        <v>192</v>
      </c>
      <c r="D8" s="77" t="n">
        <v>96</v>
      </c>
      <c r="E8" s="28" t="n">
        <v>8500</v>
      </c>
      <c r="F8" s="76" t="inlineStr">
        <is>
          <t>ACCEPTABLE – Monitor</t>
        </is>
      </c>
    </row>
    <row r="9">
      <c r="A9" s="69" t="inlineStr">
        <is>
          <t>AES-256</t>
        </is>
      </c>
      <c r="B9" s="70" t="n">
        <v>256</v>
      </c>
      <c r="C9" s="70" t="n">
        <v>256</v>
      </c>
      <c r="D9" s="78" t="n">
        <v>128</v>
      </c>
      <c r="E9" s="26" t="n">
        <v>22000</v>
      </c>
      <c r="F9" s="79" t="inlineStr">
        <is>
          <t>RECOMMENDED – PQC Safe</t>
        </is>
      </c>
    </row>
    <row r="10">
      <c r="A10" s="73" t="inlineStr">
        <is>
          <t>ChaCha20</t>
        </is>
      </c>
      <c r="B10" s="74" t="n">
        <v>256</v>
      </c>
      <c r="C10" s="74" t="n">
        <v>256</v>
      </c>
      <c r="D10" s="78" t="n">
        <v>128</v>
      </c>
      <c r="E10" s="28" t="n">
        <v>6000</v>
      </c>
      <c r="F10" s="79" t="inlineStr">
        <is>
          <t>RECOMMENDED – PQC Safe</t>
        </is>
      </c>
    </row>
    <row r="11">
      <c r="A11" s="69" t="inlineStr">
        <is>
          <t>AES-128 + PQC Hybrid</t>
        </is>
      </c>
      <c r="B11" s="70" t="n">
        <v>128</v>
      </c>
      <c r="C11" s="70" t="n">
        <v>256</v>
      </c>
      <c r="D11" s="78" t="n">
        <v>256</v>
      </c>
      <c r="E11" s="26" t="n">
        <v>1200</v>
      </c>
      <c r="F11" s="79" t="inlineStr">
        <is>
          <t>IDEAL – Future Proof</t>
        </is>
      </c>
    </row>
    <row r="12">
      <c r="A12" s="73" t="inlineStr">
        <is>
          <t>AES-256 + PQC Hybrid</t>
        </is>
      </c>
      <c r="B12" s="74" t="n">
        <v>256</v>
      </c>
      <c r="C12" s="74" t="n">
        <v>384</v>
      </c>
      <c r="D12" s="78" t="n">
        <v>384</v>
      </c>
      <c r="E12" s="28" t="n">
        <v>800</v>
      </c>
      <c r="F12" s="79" t="inlineStr">
        <is>
          <t>IDEAL – Future Proof</t>
        </is>
      </c>
    </row>
    <row r="13">
      <c r="A13" s="80" t="inlineStr">
        <is>
          <t>% Vessels with Post-Grover Security &lt; 80 bits (HIGH RISK):</t>
        </is>
      </c>
    </row>
    <row r="14">
      <c r="A14" s="81">
        <f>SUMIF(D5:D12,"&lt;80",E5:E12)/SUM(E5:E12)</f>
        <v/>
      </c>
    </row>
  </sheetData>
  <mergeCells count="4">
    <mergeCell ref="A13:F13"/>
    <mergeCell ref="A2:F2"/>
    <mergeCell ref="A14:F14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20" customWidth="1" min="4" max="4"/>
    <col width="18" customWidth="1" min="5" max="5"/>
    <col width="16" customWidth="1" min="6" max="6"/>
    <col width="16" customWidth="1" min="7" max="7"/>
    <col width="42" customWidth="1" min="8" max="8"/>
  </cols>
  <sheetData>
    <row r="1" ht="32" customHeight="1">
      <c r="A1" s="82" t="inlineStr">
        <is>
          <t>Maritime PQC Migration Progress &amp; Roadmap 2026–2030</t>
        </is>
      </c>
    </row>
    <row r="2">
      <c r="A2" s="23" t="inlineStr">
        <is>
          <t>Adoption target: 80% PQC deployment by 2030 per G7 CEG Roadmap | ML-KEM (FIPS 203), ML-DSA (FIPS 204)</t>
        </is>
      </c>
    </row>
    <row r="4" ht="36" customHeight="1">
      <c r="A4" s="83" t="inlineStr">
        <is>
          <t>Phase</t>
        </is>
      </c>
      <c r="B4" s="83" t="inlineStr">
        <is>
          <t>Year</t>
        </is>
      </c>
      <c r="C4" s="83" t="inlineStr">
        <is>
          <t>Vessels Audited</t>
        </is>
      </c>
      <c r="D4" s="83" t="inlineStr">
        <is>
          <t>Hybrid PQC Deployed</t>
        </is>
      </c>
      <c r="E4" s="83" t="inlineStr">
        <is>
          <t>Full PQC Deployed</t>
        </is>
      </c>
      <c r="F4" s="83" t="inlineStr">
        <is>
          <t>Legacy Retired</t>
        </is>
      </c>
      <c r="G4" s="83" t="inlineStr">
        <is>
          <t>% Fleet Secured</t>
        </is>
      </c>
      <c r="H4" s="83" t="inlineStr">
        <is>
          <t>Key Milestone</t>
        </is>
      </c>
    </row>
    <row r="5">
      <c r="A5" s="84" t="inlineStr">
        <is>
          <t>Phase 0 – Baseline</t>
        </is>
      </c>
      <c r="B5" s="85" t="n">
        <v>2026</v>
      </c>
      <c r="C5" s="86" t="n">
        <v>2000</v>
      </c>
      <c r="D5" s="86" t="n">
        <v>500</v>
      </c>
      <c r="E5" s="86" t="n">
        <v>200</v>
      </c>
      <c r="F5" s="86" t="n">
        <v>100</v>
      </c>
      <c r="G5" s="87">
        <f>(D5+E5)/90000</f>
        <v/>
      </c>
      <c r="H5" s="88" t="inlineStr">
        <is>
          <t>Crypto-Audit begins; HNDL threat acknowledged</t>
        </is>
      </c>
    </row>
    <row r="6">
      <c r="A6" s="89" t="inlineStr">
        <is>
          <t>Phase 1 – Pilot</t>
        </is>
      </c>
      <c r="B6" s="53" t="n">
        <v>2027</v>
      </c>
      <c r="C6" s="90" t="n">
        <v>15000</v>
      </c>
      <c r="D6" s="90" t="n">
        <v>8000</v>
      </c>
      <c r="E6" s="90" t="n">
        <v>3000</v>
      </c>
      <c r="F6" s="90" t="n">
        <v>800</v>
      </c>
      <c r="G6" s="91">
        <f>(D6+E6)/90000</f>
        <v/>
      </c>
      <c r="H6" s="51" t="inlineStr">
        <is>
          <t>Hybrid ML-KEM+RSA deployed on major carriers</t>
        </is>
      </c>
    </row>
    <row r="7">
      <c r="A7" s="84" t="inlineStr">
        <is>
          <t>Phase 2 – Early Rollout</t>
        </is>
      </c>
      <c r="B7" s="85" t="n">
        <v>2028</v>
      </c>
      <c r="C7" s="86" t="n">
        <v>35000</v>
      </c>
      <c r="D7" s="86" t="n">
        <v>20000</v>
      </c>
      <c r="E7" s="86" t="n">
        <v>12000</v>
      </c>
      <c r="F7" s="86" t="n">
        <v>4000</v>
      </c>
      <c r="G7" s="87">
        <f>(D7+E7)/90000</f>
        <v/>
      </c>
      <c r="H7" s="88" t="inlineStr">
        <is>
          <t>AIS PQC digital sigs; ECDIS PKI upgrade</t>
        </is>
      </c>
    </row>
    <row r="8">
      <c r="A8" s="89" t="inlineStr">
        <is>
          <t>Phase 3 – Mainstream</t>
        </is>
      </c>
      <c r="B8" s="53" t="n">
        <v>2029</v>
      </c>
      <c r="C8" s="90" t="n">
        <v>60000</v>
      </c>
      <c r="D8" s="90" t="n">
        <v>35000</v>
      </c>
      <c r="E8" s="90" t="n">
        <v>30000</v>
      </c>
      <c r="F8" s="90" t="n">
        <v>12000</v>
      </c>
      <c r="G8" s="91">
        <f>(D8+E8)/90000</f>
        <v/>
      </c>
      <c r="H8" s="51" t="inlineStr">
        <is>
          <t>Port OT + SATCOM PQC; GMDSS mandate</t>
        </is>
      </c>
    </row>
    <row r="9">
      <c r="A9" s="84" t="inlineStr">
        <is>
          <t>Phase 4 – Near Full</t>
        </is>
      </c>
      <c r="B9" s="85" t="n">
        <v>2030</v>
      </c>
      <c r="C9" s="86" t="n">
        <v>80000</v>
      </c>
      <c r="D9" s="86" t="n">
        <v>50000</v>
      </c>
      <c r="E9" s="86" t="n">
        <v>60000</v>
      </c>
      <c r="F9" s="86" t="n">
        <v>25000</v>
      </c>
      <c r="G9" s="87">
        <f>(D9+E9)/90000</f>
        <v/>
      </c>
      <c r="H9" s="88" t="inlineStr">
        <is>
          <t>80% target; legacy DES/RSA-1024 retired</t>
        </is>
      </c>
    </row>
    <row r="10">
      <c r="A10" s="89" t="inlineStr">
        <is>
          <t>Phase 5 – Completion</t>
        </is>
      </c>
      <c r="B10" s="53" t="n">
        <v>2032</v>
      </c>
      <c r="C10" s="90" t="n">
        <v>90000</v>
      </c>
      <c r="D10" s="90" t="n">
        <v>20000</v>
      </c>
      <c r="E10" s="90" t="n">
        <v>85000</v>
      </c>
      <c r="F10" s="90" t="n">
        <v>55000</v>
      </c>
      <c r="G10" s="91">
        <f>(D10+E10)/90000</f>
        <v/>
      </c>
      <c r="H10" s="51" t="inlineStr">
        <is>
          <t>Full PQC; crypto-agile architecture standard</t>
        </is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0" customWidth="1" min="3" max="3"/>
    <col width="20" customWidth="1" min="4" max="4"/>
    <col width="16" customWidth="1" min="5" max="5"/>
    <col width="20" customWidth="1" min="6" max="6"/>
    <col width="30" customWidth="1" min="7" max="7"/>
  </cols>
  <sheetData>
    <row r="1" ht="32" customHeight="1">
      <c r="A1" s="22" t="inlineStr">
        <is>
          <t>Harvest Now, Decrypt Later (HNDL) — Maritime Data at Risk</t>
        </is>
      </c>
    </row>
    <row r="2">
      <c r="A2" s="23" t="inlineStr">
        <is>
          <t>HNDL: Adversaries intercept &amp; store encrypted data today to decrypt once Q-Day arrives (~2027–2030)</t>
        </is>
      </c>
    </row>
    <row r="4" ht="40" customHeight="1">
      <c r="A4" s="92" t="inlineStr">
        <is>
          <t>Data Type</t>
        </is>
      </c>
      <c r="B4" s="92" t="inlineStr">
        <is>
          <t>Encryption Used</t>
        </is>
      </c>
      <c r="C4" s="92" t="inlineStr">
        <is>
          <t>Interception Risk (1-10)</t>
        </is>
      </c>
      <c r="D4" s="92" t="inlineStr">
        <is>
          <t>Data Sensitivity (1-10)</t>
        </is>
      </c>
      <c r="E4" s="92" t="inlineStr">
        <is>
          <t>HNDL Risk Score</t>
        </is>
      </c>
      <c r="F4" s="92" t="inlineStr">
        <is>
          <t>Data Shelf-Life (years)</t>
        </is>
      </c>
      <c r="G4" s="92" t="inlineStr">
        <is>
          <t>Action Required</t>
        </is>
      </c>
    </row>
    <row r="5">
      <c r="A5" s="93" t="inlineStr">
        <is>
          <t>Vessel Position / Route Data</t>
        </is>
      </c>
      <c r="B5" s="94" t="inlineStr">
        <is>
          <t>AIS (unencrypted broadcast)</t>
        </is>
      </c>
      <c r="C5" s="37" t="n">
        <v>10</v>
      </c>
      <c r="D5" s="37" t="n">
        <v>8</v>
      </c>
      <c r="E5" s="95">
        <f>C5*D5</f>
        <v/>
      </c>
      <c r="F5" s="77" t="n">
        <v>5</v>
      </c>
      <c r="G5" s="93" t="inlineStr">
        <is>
          <t>URGENT – Encrypt AIS now</t>
        </is>
      </c>
    </row>
    <row r="6">
      <c r="A6" s="96" t="inlineStr">
        <is>
          <t>Crew Biometric / PII</t>
        </is>
      </c>
      <c r="B6" s="97" t="inlineStr">
        <is>
          <t>RSA-2048</t>
        </is>
      </c>
      <c r="C6" s="37" t="n">
        <v>9</v>
      </c>
      <c r="D6" s="37" t="n">
        <v>10</v>
      </c>
      <c r="E6" s="98">
        <f>C6*D6</f>
        <v/>
      </c>
      <c r="F6" s="71" t="n">
        <v>20</v>
      </c>
      <c r="G6" s="96" t="inlineStr">
        <is>
          <t>URGENT – Migrate to PQC</t>
        </is>
      </c>
    </row>
    <row r="7">
      <c r="A7" s="93" t="inlineStr">
        <is>
          <t>Cargo Manifests &amp; Consignee</t>
        </is>
      </c>
      <c r="B7" s="94" t="inlineStr">
        <is>
          <t>TLS 1.2 RSA</t>
        </is>
      </c>
      <c r="C7" s="37" t="n">
        <v>8</v>
      </c>
      <c r="D7" s="37" t="n">
        <v>9</v>
      </c>
      <c r="E7" s="95">
        <f>C7*D7</f>
        <v/>
      </c>
      <c r="F7" s="71" t="n">
        <v>10</v>
      </c>
      <c r="G7" s="93" t="inlineStr">
        <is>
          <t>HIGH – Hybrid TLS 1.3+PQC</t>
        </is>
      </c>
    </row>
    <row r="8">
      <c r="A8" s="96" t="inlineStr">
        <is>
          <t>Satellite Comms (SATCOM)</t>
        </is>
      </c>
      <c r="B8" s="97" t="inlineStr">
        <is>
          <t>RSA-2048</t>
        </is>
      </c>
      <c r="C8" s="37" t="n">
        <v>9</v>
      </c>
      <c r="D8" s="37" t="n">
        <v>8</v>
      </c>
      <c r="E8" s="98">
        <f>C8*D8</f>
        <v/>
      </c>
      <c r="F8" s="77" t="n">
        <v>7</v>
      </c>
      <c r="G8" s="96" t="inlineStr">
        <is>
          <t>URGENT – Quantum VPN</t>
        </is>
      </c>
    </row>
    <row r="9">
      <c r="A9" s="93" t="inlineStr">
        <is>
          <t>Port Entry / Customs Data</t>
        </is>
      </c>
      <c r="B9" s="94" t="inlineStr">
        <is>
          <t>RSA / PKI</t>
        </is>
      </c>
      <c r="C9" s="38" t="n">
        <v>7</v>
      </c>
      <c r="D9" s="37" t="n">
        <v>9</v>
      </c>
      <c r="E9" s="95">
        <f>C9*D9</f>
        <v/>
      </c>
      <c r="F9" s="71" t="n">
        <v>15</v>
      </c>
      <c r="G9" s="93" t="inlineStr">
        <is>
          <t>HIGH – PQC PKI</t>
        </is>
      </c>
    </row>
    <row r="10">
      <c r="A10" s="96" t="inlineStr">
        <is>
          <t>Naval Patrol Routes</t>
        </is>
      </c>
      <c r="B10" s="97" t="inlineStr">
        <is>
          <t>RSA-4096</t>
        </is>
      </c>
      <c r="C10" s="38" t="n">
        <v>6</v>
      </c>
      <c r="D10" s="37" t="n">
        <v>10</v>
      </c>
      <c r="E10" s="98">
        <f>C10*D10</f>
        <v/>
      </c>
      <c r="F10" s="71" t="n">
        <v>30</v>
      </c>
      <c r="G10" s="96" t="inlineStr">
        <is>
          <t>URGENT – Military-grade PQC</t>
        </is>
      </c>
    </row>
    <row r="11">
      <c r="A11" s="93" t="inlineStr">
        <is>
          <t>Engine Telemetry</t>
        </is>
      </c>
      <c r="B11" s="94" t="inlineStr">
        <is>
          <t>AES-128</t>
        </is>
      </c>
      <c r="C11" s="38" t="n">
        <v>5</v>
      </c>
      <c r="D11" s="38" t="n">
        <v>5</v>
      </c>
      <c r="E11" s="95">
        <f>C11*D11</f>
        <v/>
      </c>
      <c r="F11" s="78" t="n">
        <v>2</v>
      </c>
      <c r="G11" s="93" t="inlineStr">
        <is>
          <t>MEDIUM – Upgrade to AES-256</t>
        </is>
      </c>
    </row>
    <row r="12">
      <c r="A12" s="96" t="inlineStr">
        <is>
          <t>Crew Communication (email)</t>
        </is>
      </c>
      <c r="B12" s="97" t="inlineStr">
        <is>
          <t>TLS 1.2</t>
        </is>
      </c>
      <c r="C12" s="38" t="n">
        <v>7</v>
      </c>
      <c r="D12" s="45" t="n">
        <v>4</v>
      </c>
      <c r="E12" s="98">
        <f>C12*D12</f>
        <v/>
      </c>
      <c r="F12" s="78" t="n">
        <v>1</v>
      </c>
      <c r="G12" s="96" t="inlineStr">
        <is>
          <t>LOW – TLS 1.3 sufficient</t>
        </is>
      </c>
    </row>
    <row r="13">
      <c r="A13" s="93" t="inlineStr">
        <is>
          <t>Financial Transactions</t>
        </is>
      </c>
      <c r="B13" s="94" t="inlineStr">
        <is>
          <t>RSA-2048 / TLS</t>
        </is>
      </c>
      <c r="C13" s="37" t="n">
        <v>8</v>
      </c>
      <c r="D13" s="37" t="n">
        <v>10</v>
      </c>
      <c r="E13" s="95">
        <f>C13*D13</f>
        <v/>
      </c>
      <c r="F13" s="71" t="n">
        <v>10</v>
      </c>
      <c r="G13" s="93" t="inlineStr">
        <is>
          <t>URGENT – PQC now</t>
        </is>
      </c>
    </row>
    <row r="14">
      <c r="A14" s="96" t="inlineStr">
        <is>
          <t>Firmware / Software Updates</t>
        </is>
      </c>
      <c r="B14" s="97" t="inlineStr">
        <is>
          <t>RSA-2048 (code sign)</t>
        </is>
      </c>
      <c r="C14" s="37" t="n">
        <v>8</v>
      </c>
      <c r="D14" s="37" t="n">
        <v>9</v>
      </c>
      <c r="E14" s="98">
        <f>C14*D14</f>
        <v/>
      </c>
      <c r="F14" s="77" t="n">
        <v>5</v>
      </c>
      <c r="G14" s="96" t="inlineStr">
        <is>
          <t>URGENT – ML-DSA signing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2026-03-16T13:03:16Z</dcterms:created>
  <dcterms:modified xmlns:dcterms="http://purl.org/dc/terms/" xmlns:xsi="http://www.w3.org/2001/XMLSchema-instance" xsi:type="dcterms:W3CDTF">2026-03-16T13:03:16Z</dcterms:modified>
</cp:coreProperties>
</file>